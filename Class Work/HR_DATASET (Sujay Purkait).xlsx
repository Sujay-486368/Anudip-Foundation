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rabi\Downloads\"/>
    </mc:Choice>
  </mc:AlternateContent>
  <xr:revisionPtr revIDLastSave="0" documentId="13_ncr:1_{5AD9D9A5-FF64-4AFF-AE41-F7FD463AD0EB}" xr6:coauthVersionLast="47" xr6:coauthVersionMax="47" xr10:uidLastSave="{00000000-0000-0000-0000-000000000000}"/>
  <bookViews>
    <workbookView xWindow="-120" yWindow="-120" windowWidth="20730" windowHeight="11040" tabRatio="500" activeTab="4" xr2:uid="{00000000-000D-0000-FFFF-FFFF00000000}"/>
  </bookViews>
  <sheets>
    <sheet name="Employees" sheetId="1" r:id="rId1"/>
    <sheet name="Departments" sheetId="2" r:id="rId2"/>
    <sheet name="Performance" sheetId="3" r:id="rId3"/>
    <sheet name="Summary" sheetId="4" r:id="rId4"/>
    <sheet name="Filter" sheetId="5" r:id="rId5"/>
  </sheets>
  <definedNames>
    <definedName name="_xlnm._FilterDatabase" localSheetId="0" hidden="1">Employees!$A$1:$Q$501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2" i="1" l="1"/>
  <c r="P425" i="1"/>
  <c r="P421" i="1"/>
  <c r="P414" i="1"/>
  <c r="P405" i="1"/>
  <c r="P377" i="1"/>
  <c r="P368" i="1"/>
  <c r="P363" i="1"/>
  <c r="Q363" i="1" s="1"/>
  <c r="P320" i="1"/>
  <c r="Q320" i="1" s="1"/>
  <c r="P312" i="1"/>
  <c r="Q312" i="1" s="1"/>
  <c r="P265" i="1"/>
  <c r="P186" i="1"/>
  <c r="P184" i="1"/>
  <c r="P168" i="1"/>
  <c r="P119" i="1"/>
  <c r="Q119" i="1" s="1"/>
  <c r="P108" i="1"/>
  <c r="P25" i="1"/>
  <c r="Q25" i="1" s="1"/>
  <c r="P2" i="1"/>
  <c r="Q2" i="1" s="1"/>
  <c r="B2" i="4"/>
  <c r="B3" i="4"/>
  <c r="D6" i="2"/>
  <c r="D5" i="2"/>
  <c r="D4" i="2"/>
  <c r="D3" i="2"/>
  <c r="D2" i="2"/>
  <c r="P501" i="1"/>
  <c r="Q501" i="1" s="1"/>
  <c r="O501" i="1"/>
  <c r="N501" i="1"/>
  <c r="M501" i="1"/>
  <c r="Q500" i="1"/>
  <c r="P500" i="1"/>
  <c r="O500" i="1"/>
  <c r="N500" i="1"/>
  <c r="M500" i="1"/>
  <c r="P499" i="1"/>
  <c r="Q499" i="1" s="1"/>
  <c r="O499" i="1"/>
  <c r="N499" i="1"/>
  <c r="M499" i="1"/>
  <c r="Q498" i="1"/>
  <c r="P498" i="1"/>
  <c r="O498" i="1"/>
  <c r="N498" i="1"/>
  <c r="M498" i="1"/>
  <c r="P497" i="1"/>
  <c r="Q497" i="1" s="1"/>
  <c r="O497" i="1"/>
  <c r="N497" i="1"/>
  <c r="M497" i="1"/>
  <c r="P496" i="1"/>
  <c r="Q496" i="1" s="1"/>
  <c r="O496" i="1"/>
  <c r="N496" i="1"/>
  <c r="M496" i="1"/>
  <c r="Q495" i="1"/>
  <c r="P495" i="1"/>
  <c r="O495" i="1"/>
  <c r="N495" i="1"/>
  <c r="M495" i="1"/>
  <c r="P494" i="1"/>
  <c r="Q494" i="1" s="1"/>
  <c r="O494" i="1"/>
  <c r="N494" i="1"/>
  <c r="M494" i="1"/>
  <c r="P493" i="1"/>
  <c r="Q493" i="1" s="1"/>
  <c r="O493" i="1"/>
  <c r="N493" i="1"/>
  <c r="M493" i="1"/>
  <c r="Q492" i="1"/>
  <c r="P492" i="1"/>
  <c r="O492" i="1"/>
  <c r="N492" i="1"/>
  <c r="M492" i="1"/>
  <c r="P491" i="1"/>
  <c r="Q491" i="1" s="1"/>
  <c r="O491" i="1"/>
  <c r="N491" i="1"/>
  <c r="M491" i="1"/>
  <c r="Q490" i="1"/>
  <c r="P490" i="1"/>
  <c r="O490" i="1"/>
  <c r="N490" i="1"/>
  <c r="M490" i="1"/>
  <c r="P489" i="1"/>
  <c r="Q489" i="1" s="1"/>
  <c r="O489" i="1"/>
  <c r="N489" i="1"/>
  <c r="M489" i="1"/>
  <c r="P488" i="1"/>
  <c r="Q488" i="1" s="1"/>
  <c r="O488" i="1"/>
  <c r="N488" i="1"/>
  <c r="M488" i="1"/>
  <c r="Q487" i="1"/>
  <c r="P487" i="1"/>
  <c r="O487" i="1"/>
  <c r="N487" i="1"/>
  <c r="M487" i="1"/>
  <c r="P486" i="1"/>
  <c r="Q486" i="1" s="1"/>
  <c r="O486" i="1"/>
  <c r="N486" i="1"/>
  <c r="M486" i="1"/>
  <c r="P485" i="1"/>
  <c r="Q485" i="1" s="1"/>
  <c r="O485" i="1"/>
  <c r="N485" i="1"/>
  <c r="M485" i="1"/>
  <c r="Q484" i="1"/>
  <c r="P484" i="1"/>
  <c r="O484" i="1"/>
  <c r="N484" i="1"/>
  <c r="M484" i="1"/>
  <c r="P483" i="1"/>
  <c r="Q483" i="1" s="1"/>
  <c r="O483" i="1"/>
  <c r="N483" i="1"/>
  <c r="M483" i="1"/>
  <c r="Q482" i="1"/>
  <c r="P482" i="1"/>
  <c r="O482" i="1"/>
  <c r="N482" i="1"/>
  <c r="M482" i="1"/>
  <c r="P481" i="1"/>
  <c r="Q481" i="1" s="1"/>
  <c r="O481" i="1"/>
  <c r="N481" i="1"/>
  <c r="M481" i="1"/>
  <c r="P480" i="1"/>
  <c r="Q480" i="1" s="1"/>
  <c r="O480" i="1"/>
  <c r="N480" i="1"/>
  <c r="M480" i="1"/>
  <c r="Q479" i="1"/>
  <c r="P479" i="1"/>
  <c r="O479" i="1"/>
  <c r="N479" i="1"/>
  <c r="M479" i="1"/>
  <c r="P478" i="1"/>
  <c r="Q478" i="1" s="1"/>
  <c r="O478" i="1"/>
  <c r="N478" i="1"/>
  <c r="M478" i="1"/>
  <c r="P477" i="1"/>
  <c r="Q477" i="1" s="1"/>
  <c r="O477" i="1"/>
  <c r="N477" i="1"/>
  <c r="M477" i="1"/>
  <c r="Q476" i="1"/>
  <c r="P476" i="1"/>
  <c r="O476" i="1"/>
  <c r="N476" i="1"/>
  <c r="M476" i="1"/>
  <c r="P475" i="1"/>
  <c r="Q475" i="1" s="1"/>
  <c r="O475" i="1"/>
  <c r="N475" i="1"/>
  <c r="M475" i="1"/>
  <c r="Q474" i="1"/>
  <c r="P474" i="1"/>
  <c r="O474" i="1"/>
  <c r="N474" i="1"/>
  <c r="M474" i="1"/>
  <c r="P473" i="1"/>
  <c r="Q473" i="1" s="1"/>
  <c r="O473" i="1"/>
  <c r="N473" i="1"/>
  <c r="M473" i="1"/>
  <c r="P472" i="1"/>
  <c r="Q472" i="1" s="1"/>
  <c r="O472" i="1"/>
  <c r="N472" i="1"/>
  <c r="M472" i="1"/>
  <c r="Q471" i="1"/>
  <c r="P471" i="1"/>
  <c r="O471" i="1"/>
  <c r="N471" i="1"/>
  <c r="M471" i="1"/>
  <c r="P470" i="1"/>
  <c r="Q470" i="1" s="1"/>
  <c r="O470" i="1"/>
  <c r="N470" i="1"/>
  <c r="M470" i="1"/>
  <c r="P469" i="1"/>
  <c r="Q469" i="1" s="1"/>
  <c r="O469" i="1"/>
  <c r="N469" i="1"/>
  <c r="M469" i="1"/>
  <c r="Q468" i="1"/>
  <c r="P468" i="1"/>
  <c r="O468" i="1"/>
  <c r="N468" i="1"/>
  <c r="M468" i="1"/>
  <c r="P467" i="1"/>
  <c r="Q467" i="1" s="1"/>
  <c r="O467" i="1"/>
  <c r="N467" i="1"/>
  <c r="M467" i="1"/>
  <c r="Q466" i="1"/>
  <c r="P466" i="1"/>
  <c r="O466" i="1"/>
  <c r="N466" i="1"/>
  <c r="M466" i="1"/>
  <c r="P465" i="1"/>
  <c r="Q465" i="1" s="1"/>
  <c r="O465" i="1"/>
  <c r="N465" i="1"/>
  <c r="M465" i="1"/>
  <c r="P464" i="1"/>
  <c r="Q464" i="1" s="1"/>
  <c r="O464" i="1"/>
  <c r="N464" i="1"/>
  <c r="M464" i="1"/>
  <c r="Q463" i="1"/>
  <c r="P463" i="1"/>
  <c r="O463" i="1"/>
  <c r="N463" i="1"/>
  <c r="M463" i="1"/>
  <c r="P462" i="1"/>
  <c r="Q462" i="1" s="1"/>
  <c r="O462" i="1"/>
  <c r="N462" i="1"/>
  <c r="M462" i="1"/>
  <c r="P461" i="1"/>
  <c r="Q461" i="1" s="1"/>
  <c r="O461" i="1"/>
  <c r="N461" i="1"/>
  <c r="M461" i="1"/>
  <c r="Q460" i="1"/>
  <c r="P460" i="1"/>
  <c r="O460" i="1"/>
  <c r="N460" i="1"/>
  <c r="M460" i="1"/>
  <c r="P459" i="1"/>
  <c r="Q459" i="1" s="1"/>
  <c r="O459" i="1"/>
  <c r="N459" i="1"/>
  <c r="M459" i="1"/>
  <c r="Q458" i="1"/>
  <c r="P458" i="1"/>
  <c r="O458" i="1"/>
  <c r="N458" i="1"/>
  <c r="M458" i="1"/>
  <c r="P457" i="1"/>
  <c r="Q457" i="1" s="1"/>
  <c r="O457" i="1"/>
  <c r="N457" i="1"/>
  <c r="M457" i="1"/>
  <c r="P456" i="1"/>
  <c r="Q456" i="1" s="1"/>
  <c r="O456" i="1"/>
  <c r="N456" i="1"/>
  <c r="M456" i="1"/>
  <c r="Q455" i="1"/>
  <c r="P455" i="1"/>
  <c r="O455" i="1"/>
  <c r="N455" i="1"/>
  <c r="M455" i="1"/>
  <c r="P454" i="1"/>
  <c r="Q454" i="1" s="1"/>
  <c r="O454" i="1"/>
  <c r="N454" i="1"/>
  <c r="M454" i="1"/>
  <c r="P453" i="1"/>
  <c r="Q453" i="1" s="1"/>
  <c r="O453" i="1"/>
  <c r="N453" i="1"/>
  <c r="M453" i="1"/>
  <c r="Q452" i="1"/>
  <c r="P452" i="1"/>
  <c r="O452" i="1"/>
  <c r="N452" i="1"/>
  <c r="M452" i="1"/>
  <c r="P451" i="1"/>
  <c r="Q451" i="1" s="1"/>
  <c r="O451" i="1"/>
  <c r="N451" i="1"/>
  <c r="M451" i="1"/>
  <c r="Q450" i="1"/>
  <c r="P450" i="1"/>
  <c r="O450" i="1"/>
  <c r="N450" i="1"/>
  <c r="M450" i="1"/>
  <c r="P449" i="1"/>
  <c r="Q449" i="1" s="1"/>
  <c r="O449" i="1"/>
  <c r="N449" i="1"/>
  <c r="M449" i="1"/>
  <c r="P448" i="1"/>
  <c r="Q448" i="1" s="1"/>
  <c r="O448" i="1"/>
  <c r="N448" i="1"/>
  <c r="M448" i="1"/>
  <c r="Q447" i="1"/>
  <c r="P447" i="1"/>
  <c r="O447" i="1"/>
  <c r="N447" i="1"/>
  <c r="M447" i="1"/>
  <c r="P446" i="1"/>
  <c r="Q446" i="1" s="1"/>
  <c r="O446" i="1"/>
  <c r="N446" i="1"/>
  <c r="M446" i="1"/>
  <c r="P445" i="1"/>
  <c r="Q445" i="1" s="1"/>
  <c r="O445" i="1"/>
  <c r="N445" i="1"/>
  <c r="M445" i="1"/>
  <c r="Q444" i="1"/>
  <c r="P444" i="1"/>
  <c r="O444" i="1"/>
  <c r="N444" i="1"/>
  <c r="M444" i="1"/>
  <c r="P443" i="1"/>
  <c r="Q443" i="1" s="1"/>
  <c r="O443" i="1"/>
  <c r="N443" i="1"/>
  <c r="M443" i="1"/>
  <c r="Q442" i="1"/>
  <c r="P442" i="1"/>
  <c r="O442" i="1"/>
  <c r="N442" i="1"/>
  <c r="M442" i="1"/>
  <c r="P441" i="1"/>
  <c r="Q441" i="1" s="1"/>
  <c r="O441" i="1"/>
  <c r="N441" i="1"/>
  <c r="M441" i="1"/>
  <c r="P440" i="1"/>
  <c r="Q440" i="1" s="1"/>
  <c r="O440" i="1"/>
  <c r="N440" i="1"/>
  <c r="M440" i="1"/>
  <c r="Q439" i="1"/>
  <c r="P439" i="1"/>
  <c r="O439" i="1"/>
  <c r="N439" i="1"/>
  <c r="M439" i="1"/>
  <c r="P438" i="1"/>
  <c r="Q438" i="1" s="1"/>
  <c r="O438" i="1"/>
  <c r="N438" i="1"/>
  <c r="M438" i="1"/>
  <c r="P437" i="1"/>
  <c r="Q437" i="1" s="1"/>
  <c r="O437" i="1"/>
  <c r="N437" i="1"/>
  <c r="M437" i="1"/>
  <c r="Q436" i="1"/>
  <c r="P436" i="1"/>
  <c r="O436" i="1"/>
  <c r="N436" i="1"/>
  <c r="M436" i="1"/>
  <c r="P435" i="1"/>
  <c r="Q435" i="1" s="1"/>
  <c r="O435" i="1"/>
  <c r="N435" i="1"/>
  <c r="M435" i="1"/>
  <c r="Q434" i="1"/>
  <c r="P434" i="1"/>
  <c r="O434" i="1"/>
  <c r="N434" i="1"/>
  <c r="M434" i="1"/>
  <c r="P433" i="1"/>
  <c r="Q433" i="1" s="1"/>
  <c r="O433" i="1"/>
  <c r="N433" i="1"/>
  <c r="M433" i="1"/>
  <c r="P432" i="1"/>
  <c r="Q432" i="1" s="1"/>
  <c r="O432" i="1"/>
  <c r="N432" i="1"/>
  <c r="M432" i="1"/>
  <c r="Q431" i="1"/>
  <c r="P431" i="1"/>
  <c r="O431" i="1"/>
  <c r="N431" i="1"/>
  <c r="M431" i="1"/>
  <c r="P430" i="1"/>
  <c r="Q430" i="1" s="1"/>
  <c r="O430" i="1"/>
  <c r="N430" i="1"/>
  <c r="M430" i="1"/>
  <c r="P429" i="1"/>
  <c r="Q429" i="1" s="1"/>
  <c r="O429" i="1"/>
  <c r="N429" i="1"/>
  <c r="M429" i="1"/>
  <c r="Q428" i="1"/>
  <c r="P428" i="1"/>
  <c r="O428" i="1"/>
  <c r="N428" i="1"/>
  <c r="M428" i="1"/>
  <c r="P427" i="1"/>
  <c r="Q427" i="1" s="1"/>
  <c r="O427" i="1"/>
  <c r="N427" i="1"/>
  <c r="M427" i="1"/>
  <c r="Q426" i="1"/>
  <c r="P426" i="1"/>
  <c r="O426" i="1"/>
  <c r="N426" i="1"/>
  <c r="M426" i="1"/>
  <c r="Q425" i="1"/>
  <c r="O425" i="1"/>
  <c r="N425" i="1"/>
  <c r="M425" i="1"/>
  <c r="P424" i="1"/>
  <c r="Q424" i="1" s="1"/>
  <c r="O424" i="1"/>
  <c r="N424" i="1"/>
  <c r="M424" i="1"/>
  <c r="Q423" i="1"/>
  <c r="P423" i="1"/>
  <c r="O423" i="1"/>
  <c r="N423" i="1"/>
  <c r="M423" i="1"/>
  <c r="P422" i="1"/>
  <c r="Q422" i="1" s="1"/>
  <c r="O422" i="1"/>
  <c r="N422" i="1"/>
  <c r="M422" i="1"/>
  <c r="Q421" i="1"/>
  <c r="O421" i="1"/>
  <c r="N421" i="1"/>
  <c r="M421" i="1"/>
  <c r="Q420" i="1"/>
  <c r="P420" i="1"/>
  <c r="O420" i="1"/>
  <c r="N420" i="1"/>
  <c r="M420" i="1"/>
  <c r="P419" i="1"/>
  <c r="Q419" i="1" s="1"/>
  <c r="O419" i="1"/>
  <c r="N419" i="1"/>
  <c r="M419" i="1"/>
  <c r="Q418" i="1"/>
  <c r="P418" i="1"/>
  <c r="O418" i="1"/>
  <c r="N418" i="1"/>
  <c r="M418" i="1"/>
  <c r="P417" i="1"/>
  <c r="Q417" i="1" s="1"/>
  <c r="O417" i="1"/>
  <c r="N417" i="1"/>
  <c r="M417" i="1"/>
  <c r="P416" i="1"/>
  <c r="Q416" i="1" s="1"/>
  <c r="O416" i="1"/>
  <c r="N416" i="1"/>
  <c r="M416" i="1"/>
  <c r="Q415" i="1"/>
  <c r="P415" i="1"/>
  <c r="O415" i="1"/>
  <c r="N415" i="1"/>
  <c r="M415" i="1"/>
  <c r="Q414" i="1"/>
  <c r="O414" i="1"/>
  <c r="N414" i="1"/>
  <c r="M414" i="1"/>
  <c r="P413" i="1"/>
  <c r="Q413" i="1" s="1"/>
  <c r="O413" i="1"/>
  <c r="N413" i="1"/>
  <c r="M413" i="1"/>
  <c r="Q412" i="1"/>
  <c r="P412" i="1"/>
  <c r="O412" i="1"/>
  <c r="N412" i="1"/>
  <c r="M412" i="1"/>
  <c r="P411" i="1"/>
  <c r="Q411" i="1" s="1"/>
  <c r="O411" i="1"/>
  <c r="N411" i="1"/>
  <c r="M411" i="1"/>
  <c r="Q410" i="1"/>
  <c r="P410" i="1"/>
  <c r="O410" i="1"/>
  <c r="N410" i="1"/>
  <c r="M410" i="1"/>
  <c r="P409" i="1"/>
  <c r="Q409" i="1" s="1"/>
  <c r="O409" i="1"/>
  <c r="N409" i="1"/>
  <c r="M409" i="1"/>
  <c r="P408" i="1"/>
  <c r="Q408" i="1" s="1"/>
  <c r="O408" i="1"/>
  <c r="N408" i="1"/>
  <c r="M408" i="1"/>
  <c r="Q407" i="1"/>
  <c r="P407" i="1"/>
  <c r="O407" i="1"/>
  <c r="N407" i="1"/>
  <c r="M407" i="1"/>
  <c r="P406" i="1"/>
  <c r="Q406" i="1" s="1"/>
  <c r="O406" i="1"/>
  <c r="N406" i="1"/>
  <c r="M406" i="1"/>
  <c r="Q405" i="1"/>
  <c r="O405" i="1"/>
  <c r="N405" i="1"/>
  <c r="M405" i="1"/>
  <c r="Q404" i="1"/>
  <c r="P404" i="1"/>
  <c r="O404" i="1"/>
  <c r="N404" i="1"/>
  <c r="M404" i="1"/>
  <c r="P403" i="1"/>
  <c r="Q403" i="1" s="1"/>
  <c r="O403" i="1"/>
  <c r="N403" i="1"/>
  <c r="M403" i="1"/>
  <c r="Q402" i="1"/>
  <c r="P402" i="1"/>
  <c r="O402" i="1"/>
  <c r="N402" i="1"/>
  <c r="M402" i="1"/>
  <c r="P401" i="1"/>
  <c r="Q401" i="1" s="1"/>
  <c r="O401" i="1"/>
  <c r="N401" i="1"/>
  <c r="M401" i="1"/>
  <c r="P400" i="1"/>
  <c r="Q400" i="1" s="1"/>
  <c r="O400" i="1"/>
  <c r="N400" i="1"/>
  <c r="M400" i="1"/>
  <c r="Q399" i="1"/>
  <c r="P399" i="1"/>
  <c r="O399" i="1"/>
  <c r="N399" i="1"/>
  <c r="M399" i="1"/>
  <c r="P398" i="1"/>
  <c r="Q398" i="1" s="1"/>
  <c r="O398" i="1"/>
  <c r="N398" i="1"/>
  <c r="M398" i="1"/>
  <c r="P397" i="1"/>
  <c r="Q397" i="1" s="1"/>
  <c r="O397" i="1"/>
  <c r="N397" i="1"/>
  <c r="M397" i="1"/>
  <c r="Q396" i="1"/>
  <c r="P396" i="1"/>
  <c r="O396" i="1"/>
  <c r="N396" i="1"/>
  <c r="M396" i="1"/>
  <c r="P395" i="1"/>
  <c r="Q395" i="1" s="1"/>
  <c r="O395" i="1"/>
  <c r="N395" i="1"/>
  <c r="M395" i="1"/>
  <c r="Q394" i="1"/>
  <c r="P394" i="1"/>
  <c r="O394" i="1"/>
  <c r="N394" i="1"/>
  <c r="M394" i="1"/>
  <c r="P393" i="1"/>
  <c r="Q393" i="1" s="1"/>
  <c r="O393" i="1"/>
  <c r="N393" i="1"/>
  <c r="M393" i="1"/>
  <c r="P392" i="1"/>
  <c r="Q392" i="1" s="1"/>
  <c r="O392" i="1"/>
  <c r="N392" i="1"/>
  <c r="M392" i="1"/>
  <c r="Q391" i="1"/>
  <c r="P391" i="1"/>
  <c r="O391" i="1"/>
  <c r="N391" i="1"/>
  <c r="M391" i="1"/>
  <c r="P390" i="1"/>
  <c r="Q390" i="1" s="1"/>
  <c r="O390" i="1"/>
  <c r="N390" i="1"/>
  <c r="M390" i="1"/>
  <c r="P389" i="1"/>
  <c r="Q389" i="1" s="1"/>
  <c r="O389" i="1"/>
  <c r="N389" i="1"/>
  <c r="M389" i="1"/>
  <c r="Q388" i="1"/>
  <c r="P388" i="1"/>
  <c r="O388" i="1"/>
  <c r="N388" i="1"/>
  <c r="M388" i="1"/>
  <c r="P387" i="1"/>
  <c r="Q387" i="1" s="1"/>
  <c r="O387" i="1"/>
  <c r="N387" i="1"/>
  <c r="M387" i="1"/>
  <c r="Q386" i="1"/>
  <c r="P386" i="1"/>
  <c r="O386" i="1"/>
  <c r="N386" i="1"/>
  <c r="M386" i="1"/>
  <c r="P385" i="1"/>
  <c r="Q385" i="1" s="1"/>
  <c r="O385" i="1"/>
  <c r="N385" i="1"/>
  <c r="M385" i="1"/>
  <c r="P384" i="1"/>
  <c r="Q384" i="1" s="1"/>
  <c r="O384" i="1"/>
  <c r="N384" i="1"/>
  <c r="M384" i="1"/>
  <c r="Q383" i="1"/>
  <c r="P383" i="1"/>
  <c r="O383" i="1"/>
  <c r="N383" i="1"/>
  <c r="M383" i="1"/>
  <c r="P382" i="1"/>
  <c r="Q382" i="1" s="1"/>
  <c r="O382" i="1"/>
  <c r="N382" i="1"/>
  <c r="M382" i="1"/>
  <c r="P381" i="1"/>
  <c r="Q381" i="1" s="1"/>
  <c r="O381" i="1"/>
  <c r="N381" i="1"/>
  <c r="M381" i="1"/>
  <c r="Q380" i="1"/>
  <c r="P380" i="1"/>
  <c r="O380" i="1"/>
  <c r="N380" i="1"/>
  <c r="M380" i="1"/>
  <c r="P379" i="1"/>
  <c r="Q379" i="1" s="1"/>
  <c r="O379" i="1"/>
  <c r="N379" i="1"/>
  <c r="M379" i="1"/>
  <c r="Q378" i="1"/>
  <c r="P378" i="1"/>
  <c r="O378" i="1"/>
  <c r="N378" i="1"/>
  <c r="M378" i="1"/>
  <c r="Q377" i="1"/>
  <c r="O377" i="1"/>
  <c r="N377" i="1"/>
  <c r="M377" i="1"/>
  <c r="P376" i="1"/>
  <c r="Q376" i="1" s="1"/>
  <c r="O376" i="1"/>
  <c r="N376" i="1"/>
  <c r="M376" i="1"/>
  <c r="Q375" i="1"/>
  <c r="P375" i="1"/>
  <c r="O375" i="1"/>
  <c r="N375" i="1"/>
  <c r="M375" i="1"/>
  <c r="P374" i="1"/>
  <c r="Q374" i="1" s="1"/>
  <c r="O374" i="1"/>
  <c r="N374" i="1"/>
  <c r="M374" i="1"/>
  <c r="P373" i="1"/>
  <c r="Q373" i="1" s="1"/>
  <c r="O373" i="1"/>
  <c r="N373" i="1"/>
  <c r="M373" i="1"/>
  <c r="Q372" i="1"/>
  <c r="P372" i="1"/>
  <c r="O372" i="1"/>
  <c r="N372" i="1"/>
  <c r="M372" i="1"/>
  <c r="P371" i="1"/>
  <c r="Q371" i="1" s="1"/>
  <c r="O371" i="1"/>
  <c r="N371" i="1"/>
  <c r="M371" i="1"/>
  <c r="Q370" i="1"/>
  <c r="P370" i="1"/>
  <c r="O370" i="1"/>
  <c r="N370" i="1"/>
  <c r="M370" i="1"/>
  <c r="P369" i="1"/>
  <c r="Q369" i="1" s="1"/>
  <c r="O369" i="1"/>
  <c r="N369" i="1"/>
  <c r="M369" i="1"/>
  <c r="Q368" i="1"/>
  <c r="O368" i="1"/>
  <c r="N368" i="1"/>
  <c r="M368" i="1"/>
  <c r="Q367" i="1"/>
  <c r="P367" i="1"/>
  <c r="O367" i="1"/>
  <c r="N367" i="1"/>
  <c r="M367" i="1"/>
  <c r="P366" i="1"/>
  <c r="Q366" i="1" s="1"/>
  <c r="O366" i="1"/>
  <c r="N366" i="1"/>
  <c r="M366" i="1"/>
  <c r="P365" i="1"/>
  <c r="Q365" i="1" s="1"/>
  <c r="O365" i="1"/>
  <c r="N365" i="1"/>
  <c r="M365" i="1"/>
  <c r="Q364" i="1"/>
  <c r="P364" i="1"/>
  <c r="O364" i="1"/>
  <c r="N364" i="1"/>
  <c r="M364" i="1"/>
  <c r="O363" i="1"/>
  <c r="N363" i="1"/>
  <c r="M363" i="1"/>
  <c r="Q362" i="1"/>
  <c r="P362" i="1"/>
  <c r="O362" i="1"/>
  <c r="N362" i="1"/>
  <c r="M362" i="1"/>
  <c r="P361" i="1"/>
  <c r="Q361" i="1" s="1"/>
  <c r="O361" i="1"/>
  <c r="N361" i="1"/>
  <c r="M361" i="1"/>
  <c r="P360" i="1"/>
  <c r="Q360" i="1" s="1"/>
  <c r="O360" i="1"/>
  <c r="N360" i="1"/>
  <c r="M360" i="1"/>
  <c r="Q359" i="1"/>
  <c r="P359" i="1"/>
  <c r="O359" i="1"/>
  <c r="N359" i="1"/>
  <c r="M359" i="1"/>
  <c r="P358" i="1"/>
  <c r="Q358" i="1" s="1"/>
  <c r="O358" i="1"/>
  <c r="N358" i="1"/>
  <c r="M358" i="1"/>
  <c r="P357" i="1"/>
  <c r="Q357" i="1" s="1"/>
  <c r="O357" i="1"/>
  <c r="N357" i="1"/>
  <c r="M357" i="1"/>
  <c r="Q356" i="1"/>
  <c r="P356" i="1"/>
  <c r="O356" i="1"/>
  <c r="N356" i="1"/>
  <c r="M356" i="1"/>
  <c r="P355" i="1"/>
  <c r="Q355" i="1" s="1"/>
  <c r="O355" i="1"/>
  <c r="N355" i="1"/>
  <c r="M355" i="1"/>
  <c r="Q354" i="1"/>
  <c r="P354" i="1"/>
  <c r="O354" i="1"/>
  <c r="N354" i="1"/>
  <c r="M354" i="1"/>
  <c r="P353" i="1"/>
  <c r="Q353" i="1" s="1"/>
  <c r="O353" i="1"/>
  <c r="N353" i="1"/>
  <c r="M353" i="1"/>
  <c r="P352" i="1"/>
  <c r="Q352" i="1" s="1"/>
  <c r="O352" i="1"/>
  <c r="N352" i="1"/>
  <c r="M352" i="1"/>
  <c r="Q351" i="1"/>
  <c r="P351" i="1"/>
  <c r="O351" i="1"/>
  <c r="N351" i="1"/>
  <c r="M351" i="1"/>
  <c r="P350" i="1"/>
  <c r="Q350" i="1" s="1"/>
  <c r="O350" i="1"/>
  <c r="N350" i="1"/>
  <c r="M350" i="1"/>
  <c r="P349" i="1"/>
  <c r="Q349" i="1" s="1"/>
  <c r="O349" i="1"/>
  <c r="N349" i="1"/>
  <c r="M349" i="1"/>
  <c r="Q348" i="1"/>
  <c r="P348" i="1"/>
  <c r="O348" i="1"/>
  <c r="N348" i="1"/>
  <c r="M348" i="1"/>
  <c r="P347" i="1"/>
  <c r="Q347" i="1" s="1"/>
  <c r="O347" i="1"/>
  <c r="N347" i="1"/>
  <c r="M347" i="1"/>
  <c r="Q346" i="1"/>
  <c r="P346" i="1"/>
  <c r="O346" i="1"/>
  <c r="N346" i="1"/>
  <c r="M346" i="1"/>
  <c r="P345" i="1"/>
  <c r="Q345" i="1" s="1"/>
  <c r="O345" i="1"/>
  <c r="N345" i="1"/>
  <c r="M345" i="1"/>
  <c r="P344" i="1"/>
  <c r="Q344" i="1" s="1"/>
  <c r="O344" i="1"/>
  <c r="N344" i="1"/>
  <c r="M344" i="1"/>
  <c r="Q343" i="1"/>
  <c r="P343" i="1"/>
  <c r="O343" i="1"/>
  <c r="N343" i="1"/>
  <c r="M343" i="1"/>
  <c r="P342" i="1"/>
  <c r="Q342" i="1" s="1"/>
  <c r="O342" i="1"/>
  <c r="N342" i="1"/>
  <c r="M342" i="1"/>
  <c r="P341" i="1"/>
  <c r="Q341" i="1" s="1"/>
  <c r="O341" i="1"/>
  <c r="N341" i="1"/>
  <c r="M341" i="1"/>
  <c r="Q340" i="1"/>
  <c r="P340" i="1"/>
  <c r="O340" i="1"/>
  <c r="N340" i="1"/>
  <c r="M340" i="1"/>
  <c r="P339" i="1"/>
  <c r="Q339" i="1" s="1"/>
  <c r="O339" i="1"/>
  <c r="N339" i="1"/>
  <c r="M339" i="1"/>
  <c r="Q338" i="1"/>
  <c r="P338" i="1"/>
  <c r="O338" i="1"/>
  <c r="N338" i="1"/>
  <c r="M338" i="1"/>
  <c r="P337" i="1"/>
  <c r="Q337" i="1" s="1"/>
  <c r="O337" i="1"/>
  <c r="N337" i="1"/>
  <c r="M337" i="1"/>
  <c r="P336" i="1"/>
  <c r="Q336" i="1" s="1"/>
  <c r="O336" i="1"/>
  <c r="N336" i="1"/>
  <c r="M336" i="1"/>
  <c r="Q335" i="1"/>
  <c r="P335" i="1"/>
  <c r="O335" i="1"/>
  <c r="N335" i="1"/>
  <c r="M335" i="1"/>
  <c r="P334" i="1"/>
  <c r="Q334" i="1" s="1"/>
  <c r="O334" i="1"/>
  <c r="N334" i="1"/>
  <c r="M334" i="1"/>
  <c r="P333" i="1"/>
  <c r="Q333" i="1" s="1"/>
  <c r="O333" i="1"/>
  <c r="N333" i="1"/>
  <c r="M333" i="1"/>
  <c r="Q332" i="1"/>
  <c r="P332" i="1"/>
  <c r="O332" i="1"/>
  <c r="N332" i="1"/>
  <c r="M332" i="1"/>
  <c r="P331" i="1"/>
  <c r="Q331" i="1" s="1"/>
  <c r="O331" i="1"/>
  <c r="N331" i="1"/>
  <c r="M331" i="1"/>
  <c r="Q330" i="1"/>
  <c r="P330" i="1"/>
  <c r="O330" i="1"/>
  <c r="N330" i="1"/>
  <c r="M330" i="1"/>
  <c r="P329" i="1"/>
  <c r="Q329" i="1" s="1"/>
  <c r="O329" i="1"/>
  <c r="N329" i="1"/>
  <c r="M329" i="1"/>
  <c r="P328" i="1"/>
  <c r="Q328" i="1" s="1"/>
  <c r="O328" i="1"/>
  <c r="N328" i="1"/>
  <c r="M328" i="1"/>
  <c r="Q327" i="1"/>
  <c r="P327" i="1"/>
  <c r="O327" i="1"/>
  <c r="N327" i="1"/>
  <c r="M327" i="1"/>
  <c r="P326" i="1"/>
  <c r="Q326" i="1" s="1"/>
  <c r="O326" i="1"/>
  <c r="N326" i="1"/>
  <c r="M326" i="1"/>
  <c r="P325" i="1"/>
  <c r="Q325" i="1" s="1"/>
  <c r="O325" i="1"/>
  <c r="N325" i="1"/>
  <c r="M325" i="1"/>
  <c r="Q324" i="1"/>
  <c r="P324" i="1"/>
  <c r="O324" i="1"/>
  <c r="N324" i="1"/>
  <c r="M324" i="1"/>
  <c r="P323" i="1"/>
  <c r="Q323" i="1" s="1"/>
  <c r="O323" i="1"/>
  <c r="N323" i="1"/>
  <c r="M323" i="1"/>
  <c r="Q322" i="1"/>
  <c r="P322" i="1"/>
  <c r="O322" i="1"/>
  <c r="N322" i="1"/>
  <c r="M322" i="1"/>
  <c r="P321" i="1"/>
  <c r="Q321" i="1" s="1"/>
  <c r="O321" i="1"/>
  <c r="N321" i="1"/>
  <c r="M321" i="1"/>
  <c r="O320" i="1"/>
  <c r="N320" i="1"/>
  <c r="M320" i="1"/>
  <c r="Q319" i="1"/>
  <c r="P319" i="1"/>
  <c r="O319" i="1"/>
  <c r="N319" i="1"/>
  <c r="M319" i="1"/>
  <c r="P318" i="1"/>
  <c r="Q318" i="1" s="1"/>
  <c r="O318" i="1"/>
  <c r="N318" i="1"/>
  <c r="M318" i="1"/>
  <c r="P317" i="1"/>
  <c r="Q317" i="1" s="1"/>
  <c r="O317" i="1"/>
  <c r="N317" i="1"/>
  <c r="M317" i="1"/>
  <c r="Q316" i="1"/>
  <c r="P316" i="1"/>
  <c r="O316" i="1"/>
  <c r="N316" i="1"/>
  <c r="M316" i="1"/>
  <c r="P315" i="1"/>
  <c r="Q315" i="1" s="1"/>
  <c r="O315" i="1"/>
  <c r="N315" i="1"/>
  <c r="M315" i="1"/>
  <c r="Q314" i="1"/>
  <c r="P314" i="1"/>
  <c r="O314" i="1"/>
  <c r="N314" i="1"/>
  <c r="M314" i="1"/>
  <c r="P313" i="1"/>
  <c r="Q313" i="1" s="1"/>
  <c r="O313" i="1"/>
  <c r="N313" i="1"/>
  <c r="M313" i="1"/>
  <c r="O312" i="1"/>
  <c r="N312" i="1"/>
  <c r="M312" i="1"/>
  <c r="Q311" i="1"/>
  <c r="P311" i="1"/>
  <c r="O311" i="1"/>
  <c r="N311" i="1"/>
  <c r="M311" i="1"/>
  <c r="P310" i="1"/>
  <c r="Q310" i="1" s="1"/>
  <c r="O310" i="1"/>
  <c r="N310" i="1"/>
  <c r="M310" i="1"/>
  <c r="P309" i="1"/>
  <c r="Q309" i="1" s="1"/>
  <c r="O309" i="1"/>
  <c r="N309" i="1"/>
  <c r="M309" i="1"/>
  <c r="Q308" i="1"/>
  <c r="P308" i="1"/>
  <c r="O308" i="1"/>
  <c r="N308" i="1"/>
  <c r="M308" i="1"/>
  <c r="P307" i="1"/>
  <c r="Q307" i="1" s="1"/>
  <c r="O307" i="1"/>
  <c r="N307" i="1"/>
  <c r="M307" i="1"/>
  <c r="Q306" i="1"/>
  <c r="P306" i="1"/>
  <c r="O306" i="1"/>
  <c r="N306" i="1"/>
  <c r="M306" i="1"/>
  <c r="P305" i="1"/>
  <c r="Q305" i="1" s="1"/>
  <c r="O305" i="1"/>
  <c r="N305" i="1"/>
  <c r="M305" i="1"/>
  <c r="P304" i="1"/>
  <c r="Q304" i="1" s="1"/>
  <c r="O304" i="1"/>
  <c r="N304" i="1"/>
  <c r="M304" i="1"/>
  <c r="Q303" i="1"/>
  <c r="P303" i="1"/>
  <c r="O303" i="1"/>
  <c r="N303" i="1"/>
  <c r="M303" i="1"/>
  <c r="P302" i="1"/>
  <c r="Q302" i="1" s="1"/>
  <c r="O302" i="1"/>
  <c r="N302" i="1"/>
  <c r="M302" i="1"/>
  <c r="P301" i="1"/>
  <c r="Q301" i="1" s="1"/>
  <c r="O301" i="1"/>
  <c r="N301" i="1"/>
  <c r="M301" i="1"/>
  <c r="Q300" i="1"/>
  <c r="P300" i="1"/>
  <c r="O300" i="1"/>
  <c r="N300" i="1"/>
  <c r="M300" i="1"/>
  <c r="P299" i="1"/>
  <c r="Q299" i="1" s="1"/>
  <c r="O299" i="1"/>
  <c r="N299" i="1"/>
  <c r="M299" i="1"/>
  <c r="Q298" i="1"/>
  <c r="P298" i="1"/>
  <c r="O298" i="1"/>
  <c r="N298" i="1"/>
  <c r="M298" i="1"/>
  <c r="P297" i="1"/>
  <c r="Q297" i="1" s="1"/>
  <c r="O297" i="1"/>
  <c r="N297" i="1"/>
  <c r="M297" i="1"/>
  <c r="P296" i="1"/>
  <c r="Q296" i="1" s="1"/>
  <c r="O296" i="1"/>
  <c r="N296" i="1"/>
  <c r="M296" i="1"/>
  <c r="Q295" i="1"/>
  <c r="P295" i="1"/>
  <c r="O295" i="1"/>
  <c r="N295" i="1"/>
  <c r="M295" i="1"/>
  <c r="P294" i="1"/>
  <c r="Q294" i="1" s="1"/>
  <c r="O294" i="1"/>
  <c r="N294" i="1"/>
  <c r="M294" i="1"/>
  <c r="P293" i="1"/>
  <c r="Q293" i="1" s="1"/>
  <c r="O293" i="1"/>
  <c r="N293" i="1"/>
  <c r="M293" i="1"/>
  <c r="Q292" i="1"/>
  <c r="P292" i="1"/>
  <c r="O292" i="1"/>
  <c r="N292" i="1"/>
  <c r="M292" i="1"/>
  <c r="P291" i="1"/>
  <c r="Q291" i="1" s="1"/>
  <c r="O291" i="1"/>
  <c r="N291" i="1"/>
  <c r="M291" i="1"/>
  <c r="Q290" i="1"/>
  <c r="P290" i="1"/>
  <c r="O290" i="1"/>
  <c r="N290" i="1"/>
  <c r="M290" i="1"/>
  <c r="P289" i="1"/>
  <c r="Q289" i="1" s="1"/>
  <c r="O289" i="1"/>
  <c r="N289" i="1"/>
  <c r="M289" i="1"/>
  <c r="P288" i="1"/>
  <c r="Q288" i="1" s="1"/>
  <c r="O288" i="1"/>
  <c r="N288" i="1"/>
  <c r="M288" i="1"/>
  <c r="Q287" i="1"/>
  <c r="P287" i="1"/>
  <c r="O287" i="1"/>
  <c r="N287" i="1"/>
  <c r="M287" i="1"/>
  <c r="P286" i="1"/>
  <c r="Q286" i="1" s="1"/>
  <c r="O286" i="1"/>
  <c r="N286" i="1"/>
  <c r="M286" i="1"/>
  <c r="P285" i="1"/>
  <c r="Q285" i="1" s="1"/>
  <c r="O285" i="1"/>
  <c r="N285" i="1"/>
  <c r="M285" i="1"/>
  <c r="Q284" i="1"/>
  <c r="P284" i="1"/>
  <c r="O284" i="1"/>
  <c r="N284" i="1"/>
  <c r="M284" i="1"/>
  <c r="P283" i="1"/>
  <c r="Q283" i="1" s="1"/>
  <c r="O283" i="1"/>
  <c r="N283" i="1"/>
  <c r="M283" i="1"/>
  <c r="Q282" i="1"/>
  <c r="P282" i="1"/>
  <c r="O282" i="1"/>
  <c r="N282" i="1"/>
  <c r="M282" i="1"/>
  <c r="P281" i="1"/>
  <c r="Q281" i="1" s="1"/>
  <c r="O281" i="1"/>
  <c r="N281" i="1"/>
  <c r="M281" i="1"/>
  <c r="P280" i="1"/>
  <c r="Q280" i="1" s="1"/>
  <c r="O280" i="1"/>
  <c r="N280" i="1"/>
  <c r="M280" i="1"/>
  <c r="Q279" i="1"/>
  <c r="P279" i="1"/>
  <c r="O279" i="1"/>
  <c r="N279" i="1"/>
  <c r="M279" i="1"/>
  <c r="P278" i="1"/>
  <c r="Q278" i="1" s="1"/>
  <c r="O278" i="1"/>
  <c r="N278" i="1"/>
  <c r="M278" i="1"/>
  <c r="P277" i="1"/>
  <c r="Q277" i="1" s="1"/>
  <c r="O277" i="1"/>
  <c r="N277" i="1"/>
  <c r="M277" i="1"/>
  <c r="Q276" i="1"/>
  <c r="P276" i="1"/>
  <c r="O276" i="1"/>
  <c r="N276" i="1"/>
  <c r="M276" i="1"/>
  <c r="P275" i="1"/>
  <c r="Q275" i="1" s="1"/>
  <c r="O275" i="1"/>
  <c r="N275" i="1"/>
  <c r="M275" i="1"/>
  <c r="Q274" i="1"/>
  <c r="P274" i="1"/>
  <c r="O274" i="1"/>
  <c r="N274" i="1"/>
  <c r="M274" i="1"/>
  <c r="P273" i="1"/>
  <c r="Q273" i="1" s="1"/>
  <c r="O273" i="1"/>
  <c r="N273" i="1"/>
  <c r="M273" i="1"/>
  <c r="P272" i="1"/>
  <c r="Q272" i="1" s="1"/>
  <c r="O272" i="1"/>
  <c r="N272" i="1"/>
  <c r="M272" i="1"/>
  <c r="Q271" i="1"/>
  <c r="P271" i="1"/>
  <c r="O271" i="1"/>
  <c r="N271" i="1"/>
  <c r="M271" i="1"/>
  <c r="P270" i="1"/>
  <c r="Q270" i="1" s="1"/>
  <c r="O270" i="1"/>
  <c r="N270" i="1"/>
  <c r="M270" i="1"/>
  <c r="P269" i="1"/>
  <c r="Q269" i="1" s="1"/>
  <c r="O269" i="1"/>
  <c r="N269" i="1"/>
  <c r="M269" i="1"/>
  <c r="Q268" i="1"/>
  <c r="P268" i="1"/>
  <c r="O268" i="1"/>
  <c r="N268" i="1"/>
  <c r="M268" i="1"/>
  <c r="P267" i="1"/>
  <c r="Q267" i="1" s="1"/>
  <c r="O267" i="1"/>
  <c r="N267" i="1"/>
  <c r="M267" i="1"/>
  <c r="Q266" i="1"/>
  <c r="P266" i="1"/>
  <c r="O266" i="1"/>
  <c r="N266" i="1"/>
  <c r="M266" i="1"/>
  <c r="Q265" i="1"/>
  <c r="O265" i="1"/>
  <c r="N265" i="1"/>
  <c r="M265" i="1"/>
  <c r="P264" i="1"/>
  <c r="Q264" i="1" s="1"/>
  <c r="O264" i="1"/>
  <c r="N264" i="1"/>
  <c r="M264" i="1"/>
  <c r="Q263" i="1"/>
  <c r="P263" i="1"/>
  <c r="O263" i="1"/>
  <c r="N263" i="1"/>
  <c r="M263" i="1"/>
  <c r="P262" i="1"/>
  <c r="Q262" i="1" s="1"/>
  <c r="O262" i="1"/>
  <c r="N262" i="1"/>
  <c r="M262" i="1"/>
  <c r="P261" i="1"/>
  <c r="Q261" i="1" s="1"/>
  <c r="O261" i="1"/>
  <c r="N261" i="1"/>
  <c r="M261" i="1"/>
  <c r="Q260" i="1"/>
  <c r="P260" i="1"/>
  <c r="O260" i="1"/>
  <c r="N260" i="1"/>
  <c r="M260" i="1"/>
  <c r="P259" i="1"/>
  <c r="Q259" i="1" s="1"/>
  <c r="O259" i="1"/>
  <c r="N259" i="1"/>
  <c r="M259" i="1"/>
  <c r="Q258" i="1"/>
  <c r="P258" i="1"/>
  <c r="O258" i="1"/>
  <c r="N258" i="1"/>
  <c r="M258" i="1"/>
  <c r="P257" i="1"/>
  <c r="Q257" i="1" s="1"/>
  <c r="O257" i="1"/>
  <c r="N257" i="1"/>
  <c r="M257" i="1"/>
  <c r="P256" i="1"/>
  <c r="Q256" i="1" s="1"/>
  <c r="O256" i="1"/>
  <c r="N256" i="1"/>
  <c r="M256" i="1"/>
  <c r="Q255" i="1"/>
  <c r="P255" i="1"/>
  <c r="O255" i="1"/>
  <c r="N255" i="1"/>
  <c r="M255" i="1"/>
  <c r="P254" i="1"/>
  <c r="Q254" i="1" s="1"/>
  <c r="O254" i="1"/>
  <c r="N254" i="1"/>
  <c r="M254" i="1"/>
  <c r="P253" i="1"/>
  <c r="Q253" i="1" s="1"/>
  <c r="O253" i="1"/>
  <c r="N253" i="1"/>
  <c r="M253" i="1"/>
  <c r="P252" i="1"/>
  <c r="Q252" i="1" s="1"/>
  <c r="O252" i="1"/>
  <c r="N252" i="1"/>
  <c r="M252" i="1"/>
  <c r="P251" i="1"/>
  <c r="Q251" i="1" s="1"/>
  <c r="O251" i="1"/>
  <c r="N251" i="1"/>
  <c r="M251" i="1"/>
  <c r="Q250" i="1"/>
  <c r="P250" i="1"/>
  <c r="O250" i="1"/>
  <c r="N250" i="1"/>
  <c r="M250" i="1"/>
  <c r="P249" i="1"/>
  <c r="Q249" i="1" s="1"/>
  <c r="O249" i="1"/>
  <c r="N249" i="1"/>
  <c r="M249" i="1"/>
  <c r="P248" i="1"/>
  <c r="Q248" i="1" s="1"/>
  <c r="O248" i="1"/>
  <c r="N248" i="1"/>
  <c r="M248" i="1"/>
  <c r="Q247" i="1"/>
  <c r="P247" i="1"/>
  <c r="O247" i="1"/>
  <c r="N247" i="1"/>
  <c r="M247" i="1"/>
  <c r="P246" i="1"/>
  <c r="Q246" i="1" s="1"/>
  <c r="O246" i="1"/>
  <c r="N246" i="1"/>
  <c r="M246" i="1"/>
  <c r="P245" i="1"/>
  <c r="Q245" i="1" s="1"/>
  <c r="O245" i="1"/>
  <c r="N245" i="1"/>
  <c r="M245" i="1"/>
  <c r="P244" i="1"/>
  <c r="Q244" i="1" s="1"/>
  <c r="O244" i="1"/>
  <c r="N244" i="1"/>
  <c r="M244" i="1"/>
  <c r="P243" i="1"/>
  <c r="Q243" i="1" s="1"/>
  <c r="O243" i="1"/>
  <c r="N243" i="1"/>
  <c r="M243" i="1"/>
  <c r="Q242" i="1"/>
  <c r="P242" i="1"/>
  <c r="O242" i="1"/>
  <c r="N242" i="1"/>
  <c r="M242" i="1"/>
  <c r="P241" i="1"/>
  <c r="Q241" i="1" s="1"/>
  <c r="O241" i="1"/>
  <c r="N241" i="1"/>
  <c r="M241" i="1"/>
  <c r="P240" i="1"/>
  <c r="Q240" i="1" s="1"/>
  <c r="O240" i="1"/>
  <c r="N240" i="1"/>
  <c r="M240" i="1"/>
  <c r="Q239" i="1"/>
  <c r="P239" i="1"/>
  <c r="O239" i="1"/>
  <c r="N239" i="1"/>
  <c r="M239" i="1"/>
  <c r="P238" i="1"/>
  <c r="Q238" i="1" s="1"/>
  <c r="O238" i="1"/>
  <c r="N238" i="1"/>
  <c r="M238" i="1"/>
  <c r="P237" i="1"/>
  <c r="Q237" i="1" s="1"/>
  <c r="O237" i="1"/>
  <c r="N237" i="1"/>
  <c r="M237" i="1"/>
  <c r="Q236" i="1"/>
  <c r="P236" i="1"/>
  <c r="O236" i="1"/>
  <c r="N236" i="1"/>
  <c r="M236" i="1"/>
  <c r="P235" i="1"/>
  <c r="Q235" i="1" s="1"/>
  <c r="O235" i="1"/>
  <c r="N235" i="1"/>
  <c r="M235" i="1"/>
  <c r="Q234" i="1"/>
  <c r="P234" i="1"/>
  <c r="O234" i="1"/>
  <c r="N234" i="1"/>
  <c r="M234" i="1"/>
  <c r="P233" i="1"/>
  <c r="Q233" i="1" s="1"/>
  <c r="O233" i="1"/>
  <c r="N233" i="1"/>
  <c r="M233" i="1"/>
  <c r="P232" i="1"/>
  <c r="Q232" i="1" s="1"/>
  <c r="O232" i="1"/>
  <c r="N232" i="1"/>
  <c r="M232" i="1"/>
  <c r="Q231" i="1"/>
  <c r="P231" i="1"/>
  <c r="O231" i="1"/>
  <c r="N231" i="1"/>
  <c r="M231" i="1"/>
  <c r="P230" i="1"/>
  <c r="Q230" i="1" s="1"/>
  <c r="O230" i="1"/>
  <c r="N230" i="1"/>
  <c r="M230" i="1"/>
  <c r="P229" i="1"/>
  <c r="Q229" i="1" s="1"/>
  <c r="O229" i="1"/>
  <c r="N229" i="1"/>
  <c r="M229" i="1"/>
  <c r="Q228" i="1"/>
  <c r="P228" i="1"/>
  <c r="O228" i="1"/>
  <c r="N228" i="1"/>
  <c r="M228" i="1"/>
  <c r="P227" i="1"/>
  <c r="Q227" i="1" s="1"/>
  <c r="O227" i="1"/>
  <c r="N227" i="1"/>
  <c r="M227" i="1"/>
  <c r="Q226" i="1"/>
  <c r="P226" i="1"/>
  <c r="O226" i="1"/>
  <c r="N226" i="1"/>
  <c r="M226" i="1"/>
  <c r="P225" i="1"/>
  <c r="Q225" i="1" s="1"/>
  <c r="O225" i="1"/>
  <c r="N225" i="1"/>
  <c r="M225" i="1"/>
  <c r="P224" i="1"/>
  <c r="Q224" i="1" s="1"/>
  <c r="O224" i="1"/>
  <c r="N224" i="1"/>
  <c r="M224" i="1"/>
  <c r="Q223" i="1"/>
  <c r="P223" i="1"/>
  <c r="O223" i="1"/>
  <c r="N223" i="1"/>
  <c r="M223" i="1"/>
  <c r="P222" i="1"/>
  <c r="Q222" i="1" s="1"/>
  <c r="O222" i="1"/>
  <c r="N222" i="1"/>
  <c r="M222" i="1"/>
  <c r="P221" i="1"/>
  <c r="Q221" i="1" s="1"/>
  <c r="O221" i="1"/>
  <c r="N221" i="1"/>
  <c r="M221" i="1"/>
  <c r="P220" i="1"/>
  <c r="Q220" i="1" s="1"/>
  <c r="O220" i="1"/>
  <c r="N220" i="1"/>
  <c r="M220" i="1"/>
  <c r="P219" i="1"/>
  <c r="Q219" i="1" s="1"/>
  <c r="O219" i="1"/>
  <c r="N219" i="1"/>
  <c r="M219" i="1"/>
  <c r="Q218" i="1"/>
  <c r="P218" i="1"/>
  <c r="O218" i="1"/>
  <c r="N218" i="1"/>
  <c r="M218" i="1"/>
  <c r="P217" i="1"/>
  <c r="Q217" i="1" s="1"/>
  <c r="O217" i="1"/>
  <c r="N217" i="1"/>
  <c r="M217" i="1"/>
  <c r="P216" i="1"/>
  <c r="Q216" i="1" s="1"/>
  <c r="O216" i="1"/>
  <c r="N216" i="1"/>
  <c r="M216" i="1"/>
  <c r="Q215" i="1"/>
  <c r="P215" i="1"/>
  <c r="O215" i="1"/>
  <c r="N215" i="1"/>
  <c r="M215" i="1"/>
  <c r="P214" i="1"/>
  <c r="Q214" i="1" s="1"/>
  <c r="O214" i="1"/>
  <c r="N214" i="1"/>
  <c r="M214" i="1"/>
  <c r="P213" i="1"/>
  <c r="Q213" i="1" s="1"/>
  <c r="O213" i="1"/>
  <c r="N213" i="1"/>
  <c r="M213" i="1"/>
  <c r="P212" i="1"/>
  <c r="Q212" i="1" s="1"/>
  <c r="O212" i="1"/>
  <c r="N212" i="1"/>
  <c r="M212" i="1"/>
  <c r="P211" i="1"/>
  <c r="Q211" i="1" s="1"/>
  <c r="O211" i="1"/>
  <c r="N211" i="1"/>
  <c r="M211" i="1"/>
  <c r="Q210" i="1"/>
  <c r="P210" i="1"/>
  <c r="O210" i="1"/>
  <c r="N210" i="1"/>
  <c r="M210" i="1"/>
  <c r="P209" i="1"/>
  <c r="Q209" i="1" s="1"/>
  <c r="O209" i="1"/>
  <c r="N209" i="1"/>
  <c r="M209" i="1"/>
  <c r="P208" i="1"/>
  <c r="Q208" i="1" s="1"/>
  <c r="O208" i="1"/>
  <c r="N208" i="1"/>
  <c r="M208" i="1"/>
  <c r="Q207" i="1"/>
  <c r="P207" i="1"/>
  <c r="O207" i="1"/>
  <c r="N207" i="1"/>
  <c r="M207" i="1"/>
  <c r="P206" i="1"/>
  <c r="Q206" i="1" s="1"/>
  <c r="O206" i="1"/>
  <c r="N206" i="1"/>
  <c r="M206" i="1"/>
  <c r="P205" i="1"/>
  <c r="Q205" i="1" s="1"/>
  <c r="O205" i="1"/>
  <c r="N205" i="1"/>
  <c r="M205" i="1"/>
  <c r="Q204" i="1"/>
  <c r="P204" i="1"/>
  <c r="O204" i="1"/>
  <c r="N204" i="1"/>
  <c r="M204" i="1"/>
  <c r="P203" i="1"/>
  <c r="Q203" i="1" s="1"/>
  <c r="O203" i="1"/>
  <c r="N203" i="1"/>
  <c r="M203" i="1"/>
  <c r="Q202" i="1"/>
  <c r="P202" i="1"/>
  <c r="O202" i="1"/>
  <c r="N202" i="1"/>
  <c r="M202" i="1"/>
  <c r="P201" i="1"/>
  <c r="Q201" i="1" s="1"/>
  <c r="O201" i="1"/>
  <c r="N201" i="1"/>
  <c r="M201" i="1"/>
  <c r="P200" i="1"/>
  <c r="Q200" i="1" s="1"/>
  <c r="O200" i="1"/>
  <c r="N200" i="1"/>
  <c r="M200" i="1"/>
  <c r="Q199" i="1"/>
  <c r="P199" i="1"/>
  <c r="O199" i="1"/>
  <c r="N199" i="1"/>
  <c r="M199" i="1"/>
  <c r="P198" i="1"/>
  <c r="Q198" i="1" s="1"/>
  <c r="O198" i="1"/>
  <c r="N198" i="1"/>
  <c r="M198" i="1"/>
  <c r="P197" i="1"/>
  <c r="Q197" i="1" s="1"/>
  <c r="O197" i="1"/>
  <c r="N197" i="1"/>
  <c r="M197" i="1"/>
  <c r="Q196" i="1"/>
  <c r="P196" i="1"/>
  <c r="O196" i="1"/>
  <c r="N196" i="1"/>
  <c r="M196" i="1"/>
  <c r="P195" i="1"/>
  <c r="Q195" i="1" s="1"/>
  <c r="O195" i="1"/>
  <c r="N195" i="1"/>
  <c r="M195" i="1"/>
  <c r="Q194" i="1"/>
  <c r="P194" i="1"/>
  <c r="O194" i="1"/>
  <c r="N194" i="1"/>
  <c r="M194" i="1"/>
  <c r="P193" i="1"/>
  <c r="Q193" i="1" s="1"/>
  <c r="O193" i="1"/>
  <c r="N193" i="1"/>
  <c r="M193" i="1"/>
  <c r="P192" i="1"/>
  <c r="Q192" i="1" s="1"/>
  <c r="O192" i="1"/>
  <c r="N192" i="1"/>
  <c r="M192" i="1"/>
  <c r="Q191" i="1"/>
  <c r="P191" i="1"/>
  <c r="O191" i="1"/>
  <c r="N191" i="1"/>
  <c r="M191" i="1"/>
  <c r="P190" i="1"/>
  <c r="Q190" i="1" s="1"/>
  <c r="O190" i="1"/>
  <c r="N190" i="1"/>
  <c r="M190" i="1"/>
  <c r="P189" i="1"/>
  <c r="Q189" i="1" s="1"/>
  <c r="O189" i="1"/>
  <c r="N189" i="1"/>
  <c r="M189" i="1"/>
  <c r="P188" i="1"/>
  <c r="Q188" i="1" s="1"/>
  <c r="O188" i="1"/>
  <c r="N188" i="1"/>
  <c r="M188" i="1"/>
  <c r="P187" i="1"/>
  <c r="Q187" i="1" s="1"/>
  <c r="O187" i="1"/>
  <c r="N187" i="1"/>
  <c r="M187" i="1"/>
  <c r="Q186" i="1"/>
  <c r="O186" i="1"/>
  <c r="N186" i="1"/>
  <c r="M186" i="1"/>
  <c r="P185" i="1"/>
  <c r="Q185" i="1" s="1"/>
  <c r="O185" i="1"/>
  <c r="N185" i="1"/>
  <c r="M185" i="1"/>
  <c r="Q184" i="1"/>
  <c r="O184" i="1"/>
  <c r="N184" i="1"/>
  <c r="M184" i="1"/>
  <c r="P183" i="1"/>
  <c r="Q183" i="1" s="1"/>
  <c r="O183" i="1"/>
  <c r="N183" i="1"/>
  <c r="M183" i="1"/>
  <c r="P182" i="1"/>
  <c r="Q182" i="1" s="1"/>
  <c r="O182" i="1"/>
  <c r="N182" i="1"/>
  <c r="M182" i="1"/>
  <c r="P181" i="1"/>
  <c r="Q181" i="1" s="1"/>
  <c r="O181" i="1"/>
  <c r="N181" i="1"/>
  <c r="M181" i="1"/>
  <c r="P180" i="1"/>
  <c r="Q180" i="1" s="1"/>
  <c r="O180" i="1"/>
  <c r="N180" i="1"/>
  <c r="M180" i="1"/>
  <c r="P179" i="1"/>
  <c r="Q179" i="1" s="1"/>
  <c r="O179" i="1"/>
  <c r="N179" i="1"/>
  <c r="M179" i="1"/>
  <c r="Q178" i="1"/>
  <c r="P178" i="1"/>
  <c r="O178" i="1"/>
  <c r="N178" i="1"/>
  <c r="M178" i="1"/>
  <c r="P177" i="1"/>
  <c r="Q177" i="1" s="1"/>
  <c r="O177" i="1"/>
  <c r="N177" i="1"/>
  <c r="M177" i="1"/>
  <c r="P176" i="1"/>
  <c r="Q176" i="1" s="1"/>
  <c r="O176" i="1"/>
  <c r="N176" i="1"/>
  <c r="M176" i="1"/>
  <c r="P175" i="1"/>
  <c r="Q175" i="1" s="1"/>
  <c r="O175" i="1"/>
  <c r="N175" i="1"/>
  <c r="M175" i="1"/>
  <c r="P174" i="1"/>
  <c r="Q174" i="1" s="1"/>
  <c r="O174" i="1"/>
  <c r="N174" i="1"/>
  <c r="M174" i="1"/>
  <c r="P173" i="1"/>
  <c r="Q173" i="1" s="1"/>
  <c r="O173" i="1"/>
  <c r="N173" i="1"/>
  <c r="M173" i="1"/>
  <c r="Q172" i="1"/>
  <c r="P172" i="1"/>
  <c r="O172" i="1"/>
  <c r="N172" i="1"/>
  <c r="M172" i="1"/>
  <c r="P171" i="1"/>
  <c r="Q171" i="1" s="1"/>
  <c r="O171" i="1"/>
  <c r="N171" i="1"/>
  <c r="M171" i="1"/>
  <c r="Q170" i="1"/>
  <c r="P170" i="1"/>
  <c r="O170" i="1"/>
  <c r="N170" i="1"/>
  <c r="M170" i="1"/>
  <c r="P169" i="1"/>
  <c r="Q169" i="1" s="1"/>
  <c r="O169" i="1"/>
  <c r="N169" i="1"/>
  <c r="M169" i="1"/>
  <c r="Q168" i="1"/>
  <c r="O168" i="1"/>
  <c r="N168" i="1"/>
  <c r="M168" i="1"/>
  <c r="Q167" i="1"/>
  <c r="P167" i="1"/>
  <c r="O167" i="1"/>
  <c r="N167" i="1"/>
  <c r="M167" i="1"/>
  <c r="P166" i="1"/>
  <c r="Q166" i="1" s="1"/>
  <c r="O166" i="1"/>
  <c r="N166" i="1"/>
  <c r="M166" i="1"/>
  <c r="P165" i="1"/>
  <c r="Q165" i="1" s="1"/>
  <c r="O165" i="1"/>
  <c r="N165" i="1"/>
  <c r="M165" i="1"/>
  <c r="Q164" i="1"/>
  <c r="P164" i="1"/>
  <c r="O164" i="1"/>
  <c r="N164" i="1"/>
  <c r="M164" i="1"/>
  <c r="P163" i="1"/>
  <c r="Q163" i="1" s="1"/>
  <c r="O163" i="1"/>
  <c r="N163" i="1"/>
  <c r="M163" i="1"/>
  <c r="Q162" i="1"/>
  <c r="P162" i="1"/>
  <c r="O162" i="1"/>
  <c r="N162" i="1"/>
  <c r="M162" i="1"/>
  <c r="P161" i="1"/>
  <c r="Q161" i="1" s="1"/>
  <c r="O161" i="1"/>
  <c r="N161" i="1"/>
  <c r="M161" i="1"/>
  <c r="P160" i="1"/>
  <c r="Q160" i="1" s="1"/>
  <c r="O160" i="1"/>
  <c r="N160" i="1"/>
  <c r="M160" i="1"/>
  <c r="Q159" i="1"/>
  <c r="P159" i="1"/>
  <c r="O159" i="1"/>
  <c r="N159" i="1"/>
  <c r="M159" i="1"/>
  <c r="P158" i="1"/>
  <c r="Q158" i="1" s="1"/>
  <c r="O158" i="1"/>
  <c r="N158" i="1"/>
  <c r="M158" i="1"/>
  <c r="P157" i="1"/>
  <c r="Q157" i="1" s="1"/>
  <c r="O157" i="1"/>
  <c r="N157" i="1"/>
  <c r="M157" i="1"/>
  <c r="P156" i="1"/>
  <c r="Q156" i="1" s="1"/>
  <c r="O156" i="1"/>
  <c r="N156" i="1"/>
  <c r="M156" i="1"/>
  <c r="P155" i="1"/>
  <c r="Q155" i="1" s="1"/>
  <c r="O155" i="1"/>
  <c r="N155" i="1"/>
  <c r="M155" i="1"/>
  <c r="Q154" i="1"/>
  <c r="P154" i="1"/>
  <c r="O154" i="1"/>
  <c r="N154" i="1"/>
  <c r="M154" i="1"/>
  <c r="P153" i="1"/>
  <c r="Q153" i="1" s="1"/>
  <c r="O153" i="1"/>
  <c r="N153" i="1"/>
  <c r="M153" i="1"/>
  <c r="P152" i="1"/>
  <c r="Q152" i="1" s="1"/>
  <c r="O152" i="1"/>
  <c r="N152" i="1"/>
  <c r="M152" i="1"/>
  <c r="P151" i="1"/>
  <c r="Q151" i="1" s="1"/>
  <c r="O151" i="1"/>
  <c r="N151" i="1"/>
  <c r="M151" i="1"/>
  <c r="P150" i="1"/>
  <c r="Q150" i="1" s="1"/>
  <c r="O150" i="1"/>
  <c r="N150" i="1"/>
  <c r="M150" i="1"/>
  <c r="P149" i="1"/>
  <c r="Q149" i="1" s="1"/>
  <c r="O149" i="1"/>
  <c r="N149" i="1"/>
  <c r="M149" i="1"/>
  <c r="P148" i="1"/>
  <c r="Q148" i="1" s="1"/>
  <c r="O148" i="1"/>
  <c r="N148" i="1"/>
  <c r="M148" i="1"/>
  <c r="P147" i="1"/>
  <c r="Q147" i="1" s="1"/>
  <c r="O147" i="1"/>
  <c r="N147" i="1"/>
  <c r="M147" i="1"/>
  <c r="Q146" i="1"/>
  <c r="P146" i="1"/>
  <c r="O146" i="1"/>
  <c r="N146" i="1"/>
  <c r="M146" i="1"/>
  <c r="P145" i="1"/>
  <c r="Q145" i="1" s="1"/>
  <c r="O145" i="1"/>
  <c r="N145" i="1"/>
  <c r="M145" i="1"/>
  <c r="P144" i="1"/>
  <c r="Q144" i="1" s="1"/>
  <c r="O144" i="1"/>
  <c r="N144" i="1"/>
  <c r="M144" i="1"/>
  <c r="P143" i="1"/>
  <c r="Q143" i="1" s="1"/>
  <c r="O143" i="1"/>
  <c r="N143" i="1"/>
  <c r="M143" i="1"/>
  <c r="P142" i="1"/>
  <c r="Q142" i="1" s="1"/>
  <c r="O142" i="1"/>
  <c r="N142" i="1"/>
  <c r="M142" i="1"/>
  <c r="P141" i="1"/>
  <c r="Q141" i="1" s="1"/>
  <c r="O141" i="1"/>
  <c r="N141" i="1"/>
  <c r="M141" i="1"/>
  <c r="Q140" i="1"/>
  <c r="P140" i="1"/>
  <c r="O140" i="1"/>
  <c r="N140" i="1"/>
  <c r="M140" i="1"/>
  <c r="P139" i="1"/>
  <c r="Q139" i="1" s="1"/>
  <c r="O139" i="1"/>
  <c r="N139" i="1"/>
  <c r="M139" i="1"/>
  <c r="Q138" i="1"/>
  <c r="P138" i="1"/>
  <c r="O138" i="1"/>
  <c r="N138" i="1"/>
  <c r="M138" i="1"/>
  <c r="P137" i="1"/>
  <c r="Q137" i="1" s="1"/>
  <c r="O137" i="1"/>
  <c r="N137" i="1"/>
  <c r="M137" i="1"/>
  <c r="P136" i="1"/>
  <c r="Q136" i="1" s="1"/>
  <c r="O136" i="1"/>
  <c r="N136" i="1"/>
  <c r="M136" i="1"/>
  <c r="Q135" i="1"/>
  <c r="P135" i="1"/>
  <c r="O135" i="1"/>
  <c r="N135" i="1"/>
  <c r="M135" i="1"/>
  <c r="P134" i="1"/>
  <c r="Q134" i="1" s="1"/>
  <c r="O134" i="1"/>
  <c r="N134" i="1"/>
  <c r="M134" i="1"/>
  <c r="P133" i="1"/>
  <c r="Q133" i="1" s="1"/>
  <c r="O133" i="1"/>
  <c r="N133" i="1"/>
  <c r="M133" i="1"/>
  <c r="Q132" i="1"/>
  <c r="P132" i="1"/>
  <c r="O132" i="1"/>
  <c r="N132" i="1"/>
  <c r="M132" i="1"/>
  <c r="P131" i="1"/>
  <c r="Q131" i="1" s="1"/>
  <c r="O131" i="1"/>
  <c r="N131" i="1"/>
  <c r="M131" i="1"/>
  <c r="Q130" i="1"/>
  <c r="P130" i="1"/>
  <c r="O130" i="1"/>
  <c r="N130" i="1"/>
  <c r="M130" i="1"/>
  <c r="Q129" i="1"/>
  <c r="P129" i="1"/>
  <c r="O129" i="1"/>
  <c r="N129" i="1"/>
  <c r="M129" i="1"/>
  <c r="P128" i="1"/>
  <c r="Q128" i="1" s="1"/>
  <c r="O128" i="1"/>
  <c r="N128" i="1"/>
  <c r="M128" i="1"/>
  <c r="Q127" i="1"/>
  <c r="P127" i="1"/>
  <c r="O127" i="1"/>
  <c r="N127" i="1"/>
  <c r="M127" i="1"/>
  <c r="P126" i="1"/>
  <c r="Q126" i="1" s="1"/>
  <c r="O126" i="1"/>
  <c r="N126" i="1"/>
  <c r="M126" i="1"/>
  <c r="P125" i="1"/>
  <c r="Q125" i="1" s="1"/>
  <c r="O125" i="1"/>
  <c r="N125" i="1"/>
  <c r="M125" i="1"/>
  <c r="P124" i="1"/>
  <c r="Q124" i="1" s="1"/>
  <c r="O124" i="1"/>
  <c r="N124" i="1"/>
  <c r="M124" i="1"/>
  <c r="P123" i="1"/>
  <c r="Q123" i="1" s="1"/>
  <c r="O123" i="1"/>
  <c r="N123" i="1"/>
  <c r="M123" i="1"/>
  <c r="Q122" i="1"/>
  <c r="P122" i="1"/>
  <c r="O122" i="1"/>
  <c r="N122" i="1"/>
  <c r="M122" i="1"/>
  <c r="P121" i="1"/>
  <c r="Q121" i="1" s="1"/>
  <c r="O121" i="1"/>
  <c r="N121" i="1"/>
  <c r="M121" i="1"/>
  <c r="P120" i="1"/>
  <c r="Q120" i="1" s="1"/>
  <c r="O120" i="1"/>
  <c r="N120" i="1"/>
  <c r="M120" i="1"/>
  <c r="O119" i="1"/>
  <c r="N119" i="1"/>
  <c r="M119" i="1"/>
  <c r="P118" i="1"/>
  <c r="Q118" i="1" s="1"/>
  <c r="O118" i="1"/>
  <c r="N118" i="1"/>
  <c r="M118" i="1"/>
  <c r="P117" i="1"/>
  <c r="Q117" i="1" s="1"/>
  <c r="O117" i="1"/>
  <c r="N117" i="1"/>
  <c r="M117" i="1"/>
  <c r="P116" i="1"/>
  <c r="Q116" i="1" s="1"/>
  <c r="O116" i="1"/>
  <c r="N116" i="1"/>
  <c r="M116" i="1"/>
  <c r="P115" i="1"/>
  <c r="Q115" i="1" s="1"/>
  <c r="O115" i="1"/>
  <c r="N115" i="1"/>
  <c r="M115" i="1"/>
  <c r="Q114" i="1"/>
  <c r="P114" i="1"/>
  <c r="O114" i="1"/>
  <c r="N114" i="1"/>
  <c r="M114" i="1"/>
  <c r="P113" i="1"/>
  <c r="Q113" i="1" s="1"/>
  <c r="O113" i="1"/>
  <c r="N113" i="1"/>
  <c r="M113" i="1"/>
  <c r="P112" i="1"/>
  <c r="Q112" i="1" s="1"/>
  <c r="O112" i="1"/>
  <c r="N112" i="1"/>
  <c r="M112" i="1"/>
  <c r="P111" i="1"/>
  <c r="Q111" i="1" s="1"/>
  <c r="O111" i="1"/>
  <c r="N111" i="1"/>
  <c r="M111" i="1"/>
  <c r="P110" i="1"/>
  <c r="Q110" i="1" s="1"/>
  <c r="O110" i="1"/>
  <c r="N110" i="1"/>
  <c r="M110" i="1"/>
  <c r="P109" i="1"/>
  <c r="Q109" i="1" s="1"/>
  <c r="O109" i="1"/>
  <c r="N109" i="1"/>
  <c r="M109" i="1"/>
  <c r="Q108" i="1"/>
  <c r="O108" i="1"/>
  <c r="N108" i="1"/>
  <c r="M108" i="1"/>
  <c r="P107" i="1"/>
  <c r="Q107" i="1" s="1"/>
  <c r="O107" i="1"/>
  <c r="N107" i="1"/>
  <c r="M107" i="1"/>
  <c r="Q106" i="1"/>
  <c r="P106" i="1"/>
  <c r="O106" i="1"/>
  <c r="N106" i="1"/>
  <c r="M106" i="1"/>
  <c r="P105" i="1"/>
  <c r="Q105" i="1" s="1"/>
  <c r="O105" i="1"/>
  <c r="N105" i="1"/>
  <c r="M105" i="1"/>
  <c r="P104" i="1"/>
  <c r="Q104" i="1" s="1"/>
  <c r="O104" i="1"/>
  <c r="N104" i="1"/>
  <c r="M104" i="1"/>
  <c r="Q103" i="1"/>
  <c r="P103" i="1"/>
  <c r="O103" i="1"/>
  <c r="N103" i="1"/>
  <c r="M103" i="1"/>
  <c r="P102" i="1"/>
  <c r="Q102" i="1" s="1"/>
  <c r="O102" i="1"/>
  <c r="N102" i="1"/>
  <c r="M102" i="1"/>
  <c r="P101" i="1"/>
  <c r="Q101" i="1" s="1"/>
  <c r="O101" i="1"/>
  <c r="N101" i="1"/>
  <c r="M101" i="1"/>
  <c r="Q100" i="1"/>
  <c r="P100" i="1"/>
  <c r="O100" i="1"/>
  <c r="N100" i="1"/>
  <c r="M100" i="1"/>
  <c r="P99" i="1"/>
  <c r="Q99" i="1" s="1"/>
  <c r="O99" i="1"/>
  <c r="N99" i="1"/>
  <c r="M99" i="1"/>
  <c r="Q98" i="1"/>
  <c r="P98" i="1"/>
  <c r="O98" i="1"/>
  <c r="N98" i="1"/>
  <c r="M98" i="1"/>
  <c r="P97" i="1"/>
  <c r="Q97" i="1" s="1"/>
  <c r="O97" i="1"/>
  <c r="N97" i="1"/>
  <c r="M97" i="1"/>
  <c r="P96" i="1"/>
  <c r="Q96" i="1" s="1"/>
  <c r="O96" i="1"/>
  <c r="N96" i="1"/>
  <c r="M96" i="1"/>
  <c r="Q95" i="1"/>
  <c r="P95" i="1"/>
  <c r="O95" i="1"/>
  <c r="N95" i="1"/>
  <c r="M95" i="1"/>
  <c r="P94" i="1"/>
  <c r="Q94" i="1" s="1"/>
  <c r="O94" i="1"/>
  <c r="N94" i="1"/>
  <c r="M94" i="1"/>
  <c r="P93" i="1"/>
  <c r="Q93" i="1" s="1"/>
  <c r="O93" i="1"/>
  <c r="N93" i="1"/>
  <c r="M93" i="1"/>
  <c r="P92" i="1"/>
  <c r="Q92" i="1" s="1"/>
  <c r="O92" i="1"/>
  <c r="N92" i="1"/>
  <c r="M92" i="1"/>
  <c r="P91" i="1"/>
  <c r="Q91" i="1" s="1"/>
  <c r="O91" i="1"/>
  <c r="N91" i="1"/>
  <c r="M91" i="1"/>
  <c r="Q90" i="1"/>
  <c r="P90" i="1"/>
  <c r="O90" i="1"/>
  <c r="N90" i="1"/>
  <c r="M90" i="1"/>
  <c r="P89" i="1"/>
  <c r="Q89" i="1" s="1"/>
  <c r="O89" i="1"/>
  <c r="N89" i="1"/>
  <c r="M89" i="1"/>
  <c r="P88" i="1"/>
  <c r="Q88" i="1" s="1"/>
  <c r="O88" i="1"/>
  <c r="N88" i="1"/>
  <c r="M88" i="1"/>
  <c r="P87" i="1"/>
  <c r="Q87" i="1" s="1"/>
  <c r="O87" i="1"/>
  <c r="N87" i="1"/>
  <c r="M87" i="1"/>
  <c r="P86" i="1"/>
  <c r="Q86" i="1" s="1"/>
  <c r="O86" i="1"/>
  <c r="N86" i="1"/>
  <c r="M86" i="1"/>
  <c r="P85" i="1"/>
  <c r="Q85" i="1" s="1"/>
  <c r="O85" i="1"/>
  <c r="N85" i="1"/>
  <c r="M85" i="1"/>
  <c r="P84" i="1"/>
  <c r="Q84" i="1" s="1"/>
  <c r="O84" i="1"/>
  <c r="N84" i="1"/>
  <c r="M84" i="1"/>
  <c r="P83" i="1"/>
  <c r="Q83" i="1" s="1"/>
  <c r="O83" i="1"/>
  <c r="N83" i="1"/>
  <c r="M83" i="1"/>
  <c r="Q82" i="1"/>
  <c r="P82" i="1"/>
  <c r="O82" i="1"/>
  <c r="N82" i="1"/>
  <c r="M82" i="1"/>
  <c r="P81" i="1"/>
  <c r="Q81" i="1" s="1"/>
  <c r="O81" i="1"/>
  <c r="N81" i="1"/>
  <c r="M81" i="1"/>
  <c r="P80" i="1"/>
  <c r="Q80" i="1" s="1"/>
  <c r="O80" i="1"/>
  <c r="N80" i="1"/>
  <c r="M80" i="1"/>
  <c r="P79" i="1"/>
  <c r="Q79" i="1" s="1"/>
  <c r="O79" i="1"/>
  <c r="N79" i="1"/>
  <c r="M79" i="1"/>
  <c r="P78" i="1"/>
  <c r="Q78" i="1" s="1"/>
  <c r="O78" i="1"/>
  <c r="N78" i="1"/>
  <c r="M78" i="1"/>
  <c r="P77" i="1"/>
  <c r="Q77" i="1" s="1"/>
  <c r="O77" i="1"/>
  <c r="N77" i="1"/>
  <c r="M77" i="1"/>
  <c r="Q76" i="1"/>
  <c r="P76" i="1"/>
  <c r="O76" i="1"/>
  <c r="N76" i="1"/>
  <c r="M76" i="1"/>
  <c r="Q75" i="1"/>
  <c r="P75" i="1"/>
  <c r="O75" i="1"/>
  <c r="N75" i="1"/>
  <c r="M75" i="1"/>
  <c r="Q74" i="1"/>
  <c r="P74" i="1"/>
  <c r="O74" i="1"/>
  <c r="N74" i="1"/>
  <c r="M74" i="1"/>
  <c r="P73" i="1"/>
  <c r="Q73" i="1" s="1"/>
  <c r="O73" i="1"/>
  <c r="N73" i="1"/>
  <c r="M73" i="1"/>
  <c r="P72" i="1"/>
  <c r="Q72" i="1" s="1"/>
  <c r="O72" i="1"/>
  <c r="N72" i="1"/>
  <c r="M72" i="1"/>
  <c r="Q71" i="1"/>
  <c r="P71" i="1"/>
  <c r="O71" i="1"/>
  <c r="N71" i="1"/>
  <c r="M71" i="1"/>
  <c r="P70" i="1"/>
  <c r="Q70" i="1" s="1"/>
  <c r="O70" i="1"/>
  <c r="N70" i="1"/>
  <c r="M70" i="1"/>
  <c r="P69" i="1"/>
  <c r="Q69" i="1" s="1"/>
  <c r="O69" i="1"/>
  <c r="N69" i="1"/>
  <c r="M69" i="1"/>
  <c r="Q68" i="1"/>
  <c r="P68" i="1"/>
  <c r="O68" i="1"/>
  <c r="N68" i="1"/>
  <c r="M68" i="1"/>
  <c r="P67" i="1"/>
  <c r="Q67" i="1" s="1"/>
  <c r="O67" i="1"/>
  <c r="N67" i="1"/>
  <c r="M67" i="1"/>
  <c r="Q66" i="1"/>
  <c r="P66" i="1"/>
  <c r="O66" i="1"/>
  <c r="N66" i="1"/>
  <c r="M66" i="1"/>
  <c r="Q65" i="1"/>
  <c r="P65" i="1"/>
  <c r="O65" i="1"/>
  <c r="N65" i="1"/>
  <c r="M65" i="1"/>
  <c r="P64" i="1"/>
  <c r="Q64" i="1" s="1"/>
  <c r="O64" i="1"/>
  <c r="N64" i="1"/>
  <c r="M64" i="1"/>
  <c r="P63" i="1"/>
  <c r="Q63" i="1" s="1"/>
  <c r="O63" i="1"/>
  <c r="N63" i="1"/>
  <c r="M63" i="1"/>
  <c r="P62" i="1"/>
  <c r="Q62" i="1" s="1"/>
  <c r="O62" i="1"/>
  <c r="N62" i="1"/>
  <c r="M62" i="1"/>
  <c r="P61" i="1"/>
  <c r="Q61" i="1" s="1"/>
  <c r="O61" i="1"/>
  <c r="N61" i="1"/>
  <c r="M61" i="1"/>
  <c r="P60" i="1"/>
  <c r="Q60" i="1" s="1"/>
  <c r="O60" i="1"/>
  <c r="N60" i="1"/>
  <c r="M60" i="1"/>
  <c r="P59" i="1"/>
  <c r="Q59" i="1" s="1"/>
  <c r="O59" i="1"/>
  <c r="N59" i="1"/>
  <c r="M59" i="1"/>
  <c r="Q58" i="1"/>
  <c r="P58" i="1"/>
  <c r="O58" i="1"/>
  <c r="N58" i="1"/>
  <c r="M58" i="1"/>
  <c r="P57" i="1"/>
  <c r="Q57" i="1" s="1"/>
  <c r="O57" i="1"/>
  <c r="N57" i="1"/>
  <c r="M57" i="1"/>
  <c r="P56" i="1"/>
  <c r="Q56" i="1" s="1"/>
  <c r="O56" i="1"/>
  <c r="N56" i="1"/>
  <c r="M56" i="1"/>
  <c r="Q55" i="1"/>
  <c r="P55" i="1"/>
  <c r="O55" i="1"/>
  <c r="N55" i="1"/>
  <c r="M55" i="1"/>
  <c r="P54" i="1"/>
  <c r="Q54" i="1" s="1"/>
  <c r="O54" i="1"/>
  <c r="N54" i="1"/>
  <c r="M54" i="1"/>
  <c r="P53" i="1"/>
  <c r="Q53" i="1" s="1"/>
  <c r="O53" i="1"/>
  <c r="N53" i="1"/>
  <c r="M53" i="1"/>
  <c r="P52" i="1"/>
  <c r="Q52" i="1" s="1"/>
  <c r="O52" i="1"/>
  <c r="N52" i="1"/>
  <c r="M52" i="1"/>
  <c r="P51" i="1"/>
  <c r="Q51" i="1" s="1"/>
  <c r="O51" i="1"/>
  <c r="N51" i="1"/>
  <c r="M51" i="1"/>
  <c r="Q50" i="1"/>
  <c r="P50" i="1"/>
  <c r="O50" i="1"/>
  <c r="N50" i="1"/>
  <c r="M50" i="1"/>
  <c r="P49" i="1"/>
  <c r="Q49" i="1" s="1"/>
  <c r="O49" i="1"/>
  <c r="N49" i="1"/>
  <c r="M49" i="1"/>
  <c r="Q48" i="1"/>
  <c r="P48" i="1"/>
  <c r="O48" i="1"/>
  <c r="N48" i="1"/>
  <c r="M48" i="1"/>
  <c r="P47" i="1"/>
  <c r="Q47" i="1" s="1"/>
  <c r="O47" i="1"/>
  <c r="N47" i="1"/>
  <c r="M47" i="1"/>
  <c r="P46" i="1"/>
  <c r="Q46" i="1" s="1"/>
  <c r="O46" i="1"/>
  <c r="N46" i="1"/>
  <c r="M46" i="1"/>
  <c r="P45" i="1"/>
  <c r="Q45" i="1" s="1"/>
  <c r="O45" i="1"/>
  <c r="N45" i="1"/>
  <c r="M45" i="1"/>
  <c r="P44" i="1"/>
  <c r="Q44" i="1" s="1"/>
  <c r="O44" i="1"/>
  <c r="N44" i="1"/>
  <c r="M44" i="1"/>
  <c r="Q43" i="1"/>
  <c r="P43" i="1"/>
  <c r="O43" i="1"/>
  <c r="N43" i="1"/>
  <c r="M43" i="1"/>
  <c r="Q42" i="1"/>
  <c r="P42" i="1"/>
  <c r="O42" i="1"/>
  <c r="N42" i="1"/>
  <c r="M42" i="1"/>
  <c r="P41" i="1"/>
  <c r="Q41" i="1" s="1"/>
  <c r="O41" i="1"/>
  <c r="N41" i="1"/>
  <c r="M41" i="1"/>
  <c r="P40" i="1"/>
  <c r="Q40" i="1" s="1"/>
  <c r="O40" i="1"/>
  <c r="N40" i="1"/>
  <c r="M40" i="1"/>
  <c r="P39" i="1"/>
  <c r="Q39" i="1" s="1"/>
  <c r="O39" i="1"/>
  <c r="N39" i="1"/>
  <c r="M39" i="1"/>
  <c r="P38" i="1"/>
  <c r="Q38" i="1" s="1"/>
  <c r="O38" i="1"/>
  <c r="N38" i="1"/>
  <c r="M38" i="1"/>
  <c r="P37" i="1"/>
  <c r="Q37" i="1" s="1"/>
  <c r="O37" i="1"/>
  <c r="N37" i="1"/>
  <c r="M37" i="1"/>
  <c r="P36" i="1"/>
  <c r="Q36" i="1" s="1"/>
  <c r="O36" i="1"/>
  <c r="N36" i="1"/>
  <c r="M36" i="1"/>
  <c r="P35" i="1"/>
  <c r="Q35" i="1" s="1"/>
  <c r="O35" i="1"/>
  <c r="N35" i="1"/>
  <c r="M35" i="1"/>
  <c r="Q34" i="1"/>
  <c r="P34" i="1"/>
  <c r="O34" i="1"/>
  <c r="N34" i="1"/>
  <c r="M34" i="1"/>
  <c r="P33" i="1"/>
  <c r="Q33" i="1" s="1"/>
  <c r="O33" i="1"/>
  <c r="N33" i="1"/>
  <c r="M33" i="1"/>
  <c r="Q32" i="1"/>
  <c r="P32" i="1"/>
  <c r="O32" i="1"/>
  <c r="N32" i="1"/>
  <c r="M32" i="1"/>
  <c r="P31" i="1"/>
  <c r="Q31" i="1" s="1"/>
  <c r="O31" i="1"/>
  <c r="N31" i="1"/>
  <c r="M31" i="1"/>
  <c r="Q30" i="1"/>
  <c r="P30" i="1"/>
  <c r="O30" i="1"/>
  <c r="N30" i="1"/>
  <c r="M30" i="1"/>
  <c r="P29" i="1"/>
  <c r="Q29" i="1" s="1"/>
  <c r="O29" i="1"/>
  <c r="N29" i="1"/>
  <c r="M29" i="1"/>
  <c r="P28" i="1"/>
  <c r="Q28" i="1" s="1"/>
  <c r="O28" i="1"/>
  <c r="N28" i="1"/>
  <c r="M28" i="1"/>
  <c r="Q27" i="1"/>
  <c r="P27" i="1"/>
  <c r="O27" i="1"/>
  <c r="N27" i="1"/>
  <c r="M27" i="1"/>
  <c r="Q26" i="1"/>
  <c r="P26" i="1"/>
  <c r="O26" i="1"/>
  <c r="N26" i="1"/>
  <c r="M26" i="1"/>
  <c r="O25" i="1"/>
  <c r="N25" i="1"/>
  <c r="M25" i="1"/>
  <c r="P24" i="1"/>
  <c r="Q24" i="1" s="1"/>
  <c r="O24" i="1"/>
  <c r="N24" i="1"/>
  <c r="M24" i="1"/>
  <c r="P23" i="1"/>
  <c r="Q23" i="1" s="1"/>
  <c r="O23" i="1"/>
  <c r="N23" i="1"/>
  <c r="M23" i="1"/>
  <c r="P22" i="1"/>
  <c r="Q22" i="1" s="1"/>
  <c r="O22" i="1"/>
  <c r="N22" i="1"/>
  <c r="M22" i="1"/>
  <c r="P21" i="1"/>
  <c r="Q21" i="1" s="1"/>
  <c r="O21" i="1"/>
  <c r="N21" i="1"/>
  <c r="M21" i="1"/>
  <c r="Q20" i="1"/>
  <c r="P20" i="1"/>
  <c r="O20" i="1"/>
  <c r="N20" i="1"/>
  <c r="M20" i="1"/>
  <c r="P19" i="1"/>
  <c r="Q19" i="1" s="1"/>
  <c r="O19" i="1"/>
  <c r="N19" i="1"/>
  <c r="M19" i="1"/>
  <c r="Q18" i="1"/>
  <c r="P18" i="1"/>
  <c r="O18" i="1"/>
  <c r="N18" i="1"/>
  <c r="M18" i="1"/>
  <c r="P17" i="1"/>
  <c r="Q17" i="1" s="1"/>
  <c r="O17" i="1"/>
  <c r="N17" i="1"/>
  <c r="M17" i="1"/>
  <c r="P16" i="1"/>
  <c r="Q16" i="1" s="1"/>
  <c r="O16" i="1"/>
  <c r="N16" i="1"/>
  <c r="M16" i="1"/>
  <c r="P15" i="1"/>
  <c r="Q15" i="1" s="1"/>
  <c r="O15" i="1"/>
  <c r="N15" i="1"/>
  <c r="M15" i="1"/>
  <c r="Q14" i="1"/>
  <c r="P14" i="1"/>
  <c r="O14" i="1"/>
  <c r="N14" i="1"/>
  <c r="M14" i="1"/>
  <c r="P13" i="1"/>
  <c r="Q13" i="1" s="1"/>
  <c r="O13" i="1"/>
  <c r="N13" i="1"/>
  <c r="M13" i="1"/>
  <c r="P12" i="1"/>
  <c r="Q12" i="1" s="1"/>
  <c r="O12" i="1"/>
  <c r="N12" i="1"/>
  <c r="M12" i="1"/>
  <c r="P11" i="1"/>
  <c r="Q11" i="1" s="1"/>
  <c r="O11" i="1"/>
  <c r="N11" i="1"/>
  <c r="M11" i="1"/>
  <c r="Q10" i="1"/>
  <c r="P10" i="1"/>
  <c r="O10" i="1"/>
  <c r="N10" i="1"/>
  <c r="M10" i="1"/>
  <c r="Q9" i="1"/>
  <c r="P9" i="1"/>
  <c r="O9" i="1"/>
  <c r="N9" i="1"/>
  <c r="M9" i="1"/>
  <c r="P8" i="1"/>
  <c r="Q8" i="1" s="1"/>
  <c r="O8" i="1"/>
  <c r="N8" i="1"/>
  <c r="M8" i="1"/>
  <c r="Q7" i="1"/>
  <c r="P7" i="1"/>
  <c r="O7" i="1"/>
  <c r="N7" i="1"/>
  <c r="M7" i="1"/>
  <c r="P6" i="1"/>
  <c r="Q6" i="1" s="1"/>
  <c r="O6" i="1"/>
  <c r="N6" i="1"/>
  <c r="M6" i="1"/>
  <c r="P5" i="1"/>
  <c r="Q5" i="1" s="1"/>
  <c r="O5" i="1"/>
  <c r="N5" i="1"/>
  <c r="M5" i="1"/>
  <c r="Q4" i="1"/>
  <c r="P4" i="1"/>
  <c r="O4" i="1"/>
  <c r="N4" i="1"/>
  <c r="M4" i="1"/>
  <c r="P3" i="1"/>
  <c r="Q3" i="1" s="1"/>
  <c r="O3" i="1"/>
  <c r="N3" i="1"/>
  <c r="M3" i="1"/>
  <c r="N2" i="1"/>
  <c r="M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O1" authorId="0" shapeId="0" xr:uid="{00000000-0006-0000-0000-000001000000}">
      <text>
        <r>
          <rPr>
            <sz val="10"/>
            <rFont val="Arial"/>
            <family val="2"/>
          </rPr>
          <t>Assignment asks for XLOOKUP. Equivalent Excel 365 formula:
=XLOOKUP(F2,Departments!$A$2:$A$6,Departments!$B$2:$B$6)
INDEX/MATCH is used here because it evaluates identically in every Excel version.</t>
        </r>
      </text>
    </comment>
  </commentList>
</comments>
</file>

<file path=xl/sharedStrings.xml><?xml version="1.0" encoding="utf-8"?>
<sst xmlns="http://schemas.openxmlformats.org/spreadsheetml/2006/main" count="5546" uniqueCount="1534">
  <si>
    <t>EmployeeID</t>
  </si>
  <si>
    <t>FirstName</t>
  </si>
  <si>
    <t>LastName</t>
  </si>
  <si>
    <t>Gender</t>
  </si>
  <si>
    <t>Age</t>
  </si>
  <si>
    <t>DepartmentID</t>
  </si>
  <si>
    <t>JobTitle</t>
  </si>
  <si>
    <t>HireDate</t>
  </si>
  <si>
    <t>Salary</t>
  </si>
  <si>
    <t>City</t>
  </si>
  <si>
    <t>Email</t>
  </si>
  <si>
    <t>Status</t>
  </si>
  <si>
    <t xml:space="preserve">DEPARTMENT NAME </t>
  </si>
  <si>
    <t>DEPARTMENT NAME USING INDEX AND MATCH</t>
  </si>
  <si>
    <t>DEPARTMENT NAME (Q1 - XLOOKUP)</t>
  </si>
  <si>
    <t>RATING (Q2)</t>
  </si>
  <si>
    <t>BONUS (Q3)</t>
  </si>
  <si>
    <t>E0001</t>
  </si>
  <si>
    <t>Amit</t>
  </si>
  <si>
    <t>Dutta</t>
  </si>
  <si>
    <t>Female</t>
  </si>
  <si>
    <t>D01</t>
  </si>
  <si>
    <t>Analyst</t>
  </si>
  <si>
    <t>2019-02-21</t>
  </si>
  <si>
    <t>Kolkata</t>
  </si>
  <si>
    <t>amit.dutta1@example.com</t>
  </si>
  <si>
    <t>Active</t>
  </si>
  <si>
    <t>E0002</t>
  </si>
  <si>
    <t>Roy</t>
  </si>
  <si>
    <t>Male</t>
  </si>
  <si>
    <t>D03</t>
  </si>
  <si>
    <t>Executive</t>
  </si>
  <si>
    <t>2021-12-18</t>
  </si>
  <si>
    <t>amit.roy2@example.com</t>
  </si>
  <si>
    <t>HIGHLIGHT THE ACTIVE EMPLOYEE RECORD</t>
  </si>
  <si>
    <t>E0003</t>
  </si>
  <si>
    <t>Rohit</t>
  </si>
  <si>
    <t>D04</t>
  </si>
  <si>
    <t>Coordinator</t>
  </si>
  <si>
    <t>2020-07-25</t>
  </si>
  <si>
    <t>Pune</t>
  </si>
  <si>
    <t>rohit.roy3@example.com</t>
  </si>
  <si>
    <t>Inactive</t>
  </si>
  <si>
    <t>E0004</t>
  </si>
  <si>
    <t>David</t>
  </si>
  <si>
    <t>D05</t>
  </si>
  <si>
    <t>Manager</t>
  </si>
  <si>
    <t>2021-08-05</t>
  </si>
  <si>
    <t>david.dutta4@example.com</t>
  </si>
  <si>
    <t>E0005</t>
  </si>
  <si>
    <t>Jane</t>
  </si>
  <si>
    <t>Ghosh</t>
  </si>
  <si>
    <t>2020-06-08</t>
  </si>
  <si>
    <t>jane.ghosh5@example.com</t>
  </si>
  <si>
    <t>E0006</t>
  </si>
  <si>
    <t>Rahul</t>
  </si>
  <si>
    <t>D02</t>
  </si>
  <si>
    <t>2019-08-04</t>
  </si>
  <si>
    <t>rahul.dutta6@example.com</t>
  </si>
  <si>
    <t>E0007</t>
  </si>
  <si>
    <t>Sara</t>
  </si>
  <si>
    <t>2021-01-23</t>
  </si>
  <si>
    <t>sara.ghosh7@example.com</t>
  </si>
  <si>
    <t>E0008</t>
  </si>
  <si>
    <t>John</t>
  </si>
  <si>
    <t>2020-05-27</t>
  </si>
  <si>
    <t>Delhi</t>
  </si>
  <si>
    <t>john.dutta8@example.com</t>
  </si>
  <si>
    <t>E0009</t>
  </si>
  <si>
    <t>Singh</t>
  </si>
  <si>
    <t>2022-04-30</t>
  </si>
  <si>
    <t>Bengaluru</t>
  </si>
  <si>
    <t>john.singh9@example.com</t>
  </si>
  <si>
    <t>E0010</t>
  </si>
  <si>
    <t>2018-12-23</t>
  </si>
  <si>
    <t>amit.roy10@example.com</t>
  </si>
  <si>
    <t>E0011</t>
  </si>
  <si>
    <t>Anita</t>
  </si>
  <si>
    <t>2021-06-09</t>
  </si>
  <si>
    <t>anita.roy11@example.com</t>
  </si>
  <si>
    <t>E0012</t>
  </si>
  <si>
    <t>2019-02-24</t>
  </si>
  <si>
    <t>rohit.ghosh12@example.com</t>
  </si>
  <si>
    <t>E0013</t>
  </si>
  <si>
    <t>Khan</t>
  </si>
  <si>
    <t>2022-03-31</t>
  </si>
  <si>
    <t>Mumbai</t>
  </si>
  <si>
    <t>rohit.khan13@example.com</t>
  </si>
  <si>
    <t>E0014</t>
  </si>
  <si>
    <t>Sen</t>
  </si>
  <si>
    <t>2022-09-23</t>
  </si>
  <si>
    <t>rohit.sen14@example.com</t>
  </si>
  <si>
    <t>E0015</t>
  </si>
  <si>
    <t>2018-07-03</t>
  </si>
  <si>
    <t>david.sen15@example.com</t>
  </si>
  <si>
    <t>E0016</t>
  </si>
  <si>
    <t>Paul</t>
  </si>
  <si>
    <t>2024-04-11</t>
  </si>
  <si>
    <t>sara.paul16@example.com</t>
  </si>
  <si>
    <t>E0017</t>
  </si>
  <si>
    <t>Priya</t>
  </si>
  <si>
    <t>Smith</t>
  </si>
  <si>
    <t>2019-04-23</t>
  </si>
  <si>
    <t>priya.smith17@example.com</t>
  </si>
  <si>
    <t>E0018</t>
  </si>
  <si>
    <t>2018-07-10</t>
  </si>
  <si>
    <t>john.roy18@example.com</t>
  </si>
  <si>
    <t>E0019</t>
  </si>
  <si>
    <t>2022-08-16</t>
  </si>
  <si>
    <t>rohit.khan19@example.com</t>
  </si>
  <si>
    <t>E0020</t>
  </si>
  <si>
    <t>2018-03-22</t>
  </si>
  <si>
    <t>priya.dutta20@example.com</t>
  </si>
  <si>
    <t>E0021</t>
  </si>
  <si>
    <t>Specialist</t>
  </si>
  <si>
    <t>2021-09-22</t>
  </si>
  <si>
    <t>priya.sen21@example.com</t>
  </si>
  <si>
    <t>E0022</t>
  </si>
  <si>
    <t>2022-11-19</t>
  </si>
  <si>
    <t>amit.dutta22@example.com</t>
  </si>
  <si>
    <t>E0023</t>
  </si>
  <si>
    <t>2021-12-22</t>
  </si>
  <si>
    <t>anita.singh23@example.com</t>
  </si>
  <si>
    <t>E0024</t>
  </si>
  <si>
    <t>2019-06-08</t>
  </si>
  <si>
    <t>jane.singh24@example.com</t>
  </si>
  <si>
    <t>E0025</t>
  </si>
  <si>
    <t>2021-12-07</t>
  </si>
  <si>
    <t>anita.sen25@example.com</t>
  </si>
  <si>
    <t>E0026</t>
  </si>
  <si>
    <t>2023-06-24</t>
  </si>
  <si>
    <t>john.dutta26@example.com</t>
  </si>
  <si>
    <t>E0027</t>
  </si>
  <si>
    <t>2020-10-09</t>
  </si>
  <si>
    <t>amit.sen27@example.com</t>
  </si>
  <si>
    <t>E0028</t>
  </si>
  <si>
    <t>Das</t>
  </si>
  <si>
    <t>2021-06-08</t>
  </si>
  <si>
    <t>jane.das28@example.com</t>
  </si>
  <si>
    <t>E0029</t>
  </si>
  <si>
    <t>2022-02-08</t>
  </si>
  <si>
    <t>sara.khan29@example.com</t>
  </si>
  <si>
    <t>E0030</t>
  </si>
  <si>
    <t>2021-05-20</t>
  </si>
  <si>
    <t>david.dutta30@example.com</t>
  </si>
  <si>
    <t>E0031</t>
  </si>
  <si>
    <t>2019-08-08</t>
  </si>
  <si>
    <t>amit.ghosh31@example.com</t>
  </si>
  <si>
    <t>E0032</t>
  </si>
  <si>
    <t>Neha</t>
  </si>
  <si>
    <t>2019-11-15</t>
  </si>
  <si>
    <t>neha.smith32@example.com</t>
  </si>
  <si>
    <t>E0033</t>
  </si>
  <si>
    <t>2019-06-18</t>
  </si>
  <si>
    <t>neha.singh33@example.com</t>
  </si>
  <si>
    <t>E0034</t>
  </si>
  <si>
    <t>2024-03-15</t>
  </si>
  <si>
    <t>john.sen34@example.com</t>
  </si>
  <si>
    <t>E0035</t>
  </si>
  <si>
    <t>2021-11-25</t>
  </si>
  <si>
    <t>david.khan35@example.com</t>
  </si>
  <si>
    <t>E0036</t>
  </si>
  <si>
    <t>2018-06-15</t>
  </si>
  <si>
    <t>rohit.ghosh36@example.com</t>
  </si>
  <si>
    <t>E0037</t>
  </si>
  <si>
    <t>2021-05-24</t>
  </si>
  <si>
    <t>amit.ghosh37@example.com</t>
  </si>
  <si>
    <t>E0038</t>
  </si>
  <si>
    <t>2020-11-13</t>
  </si>
  <si>
    <t>neha.paul38@example.com</t>
  </si>
  <si>
    <t>E0039</t>
  </si>
  <si>
    <t>Brown</t>
  </si>
  <si>
    <t>2018-06-20</t>
  </si>
  <si>
    <t>david.brown39@example.com</t>
  </si>
  <si>
    <t>E0040</t>
  </si>
  <si>
    <t>2018-11-27</t>
  </si>
  <si>
    <t>neha.paul40@example.com</t>
  </si>
  <si>
    <t>E0041</t>
  </si>
  <si>
    <t>2021-11-26</t>
  </si>
  <si>
    <t>anita.ghosh41@example.com</t>
  </si>
  <si>
    <t>E0042</t>
  </si>
  <si>
    <t>2019-01-24</t>
  </si>
  <si>
    <t>jane.smith42@example.com</t>
  </si>
  <si>
    <t>E0043</t>
  </si>
  <si>
    <t>2018-01-16</t>
  </si>
  <si>
    <t>priya.das43@example.com</t>
  </si>
  <si>
    <t>E0044</t>
  </si>
  <si>
    <t>2023-01-06</t>
  </si>
  <si>
    <t>amit.das44@example.com</t>
  </si>
  <si>
    <t>E0045</t>
  </si>
  <si>
    <t>2024-07-26</t>
  </si>
  <si>
    <t>neha.brown45@example.com</t>
  </si>
  <si>
    <t>E0046</t>
  </si>
  <si>
    <t>2024-04-13</t>
  </si>
  <si>
    <t>rohit.smith46@example.com</t>
  </si>
  <si>
    <t>E0047</t>
  </si>
  <si>
    <t>2019-08-31</t>
  </si>
  <si>
    <t>anita.singh47@example.com</t>
  </si>
  <si>
    <t>E0048</t>
  </si>
  <si>
    <t>2021-12-16</t>
  </si>
  <si>
    <t>rahul.sen48@example.com</t>
  </si>
  <si>
    <t>E0049</t>
  </si>
  <si>
    <t>2021-01-16</t>
  </si>
  <si>
    <t>sara.smith49@example.com</t>
  </si>
  <si>
    <t>E0050</t>
  </si>
  <si>
    <t>david.smith50@example.com</t>
  </si>
  <si>
    <t>E0051</t>
  </si>
  <si>
    <t>2019-02-18</t>
  </si>
  <si>
    <t>john.singh51@example.com</t>
  </si>
  <si>
    <t>E0052</t>
  </si>
  <si>
    <t>2018-05-08</t>
  </si>
  <si>
    <t>david.das52@example.com</t>
  </si>
  <si>
    <t>E0053</t>
  </si>
  <si>
    <t>2018-10-12</t>
  </si>
  <si>
    <t>rohit.roy53@example.com</t>
  </si>
  <si>
    <t>E0054</t>
  </si>
  <si>
    <t>2020-12-24</t>
  </si>
  <si>
    <t>priya.smith54@example.com</t>
  </si>
  <si>
    <t>E0055</t>
  </si>
  <si>
    <t>2021-01-21</t>
  </si>
  <si>
    <t>anita.brown55@example.com</t>
  </si>
  <si>
    <t>E0056</t>
  </si>
  <si>
    <t>2020-11-20</t>
  </si>
  <si>
    <t>anita.ghosh56@example.com</t>
  </si>
  <si>
    <t>E0057</t>
  </si>
  <si>
    <t>2020-10-14</t>
  </si>
  <si>
    <t>rohit.singh57@example.com</t>
  </si>
  <si>
    <t>E0058</t>
  </si>
  <si>
    <t>2024-07-02</t>
  </si>
  <si>
    <t>john.khan58@example.com</t>
  </si>
  <si>
    <t>E0059</t>
  </si>
  <si>
    <t>2024-07-29</t>
  </si>
  <si>
    <t>anita.das59@example.com</t>
  </si>
  <si>
    <t>E0060</t>
  </si>
  <si>
    <t>2021-10-24</t>
  </si>
  <si>
    <t>david.singh60@example.com</t>
  </si>
  <si>
    <t>E0061</t>
  </si>
  <si>
    <t>2019-10-25</t>
  </si>
  <si>
    <t>neha.khan61@example.com</t>
  </si>
  <si>
    <t>E0062</t>
  </si>
  <si>
    <t>2024-01-26</t>
  </si>
  <si>
    <t>sara.paul62@example.com</t>
  </si>
  <si>
    <t>E0063</t>
  </si>
  <si>
    <t>2023-02-23</t>
  </si>
  <si>
    <t>anita.das63@example.com</t>
  </si>
  <si>
    <t>E0064</t>
  </si>
  <si>
    <t>2020-05-22</t>
  </si>
  <si>
    <t>david.sen64@example.com</t>
  </si>
  <si>
    <t>E0065</t>
  </si>
  <si>
    <t>2019-08-20</t>
  </si>
  <si>
    <t>rohit.paul65@example.com</t>
  </si>
  <si>
    <t>E0066</t>
  </si>
  <si>
    <t>2021-06-20</t>
  </si>
  <si>
    <t>john.brown66@example.com</t>
  </si>
  <si>
    <t>E0067</t>
  </si>
  <si>
    <t>2020-01-09</t>
  </si>
  <si>
    <t>david.das67@example.com</t>
  </si>
  <si>
    <t>E0068</t>
  </si>
  <si>
    <t>2023-07-27</t>
  </si>
  <si>
    <t>jane.roy68@example.com</t>
  </si>
  <si>
    <t>E0069</t>
  </si>
  <si>
    <t>2024-06-06</t>
  </si>
  <si>
    <t>amit.ghosh69@example.com</t>
  </si>
  <si>
    <t>E0070</t>
  </si>
  <si>
    <t>2020-04-09</t>
  </si>
  <si>
    <t>david.paul70@example.com</t>
  </si>
  <si>
    <t>E0071</t>
  </si>
  <si>
    <t>2020-04-29</t>
  </si>
  <si>
    <t>anita.paul71@example.com</t>
  </si>
  <si>
    <t>E0072</t>
  </si>
  <si>
    <t>2023-02-17</t>
  </si>
  <si>
    <t>rahul.paul72@example.com</t>
  </si>
  <si>
    <t>E0073</t>
  </si>
  <si>
    <t>2020-12-26</t>
  </si>
  <si>
    <t>jane.ghosh73@example.com</t>
  </si>
  <si>
    <t>E0074</t>
  </si>
  <si>
    <t>2023-08-18</t>
  </si>
  <si>
    <t>amit.das74@example.com</t>
  </si>
  <si>
    <t>E0075</t>
  </si>
  <si>
    <t>2024-03-24</t>
  </si>
  <si>
    <t>neha.roy75@example.com</t>
  </si>
  <si>
    <t>E0076</t>
  </si>
  <si>
    <t>2018-03-08</t>
  </si>
  <si>
    <t>sara.dutta76@example.com</t>
  </si>
  <si>
    <t>E0077</t>
  </si>
  <si>
    <t>2022-06-15</t>
  </si>
  <si>
    <t>neha.smith77@example.com</t>
  </si>
  <si>
    <t>E0078</t>
  </si>
  <si>
    <t>2019-07-03</t>
  </si>
  <si>
    <t>rahul.singh78@example.com</t>
  </si>
  <si>
    <t>E0079</t>
  </si>
  <si>
    <t>2024-03-18</t>
  </si>
  <si>
    <t>sara.brown79@example.com</t>
  </si>
  <si>
    <t>E0080</t>
  </si>
  <si>
    <t>2021-08-19</t>
  </si>
  <si>
    <t>anita.dutta80@example.com</t>
  </si>
  <si>
    <t>E0081</t>
  </si>
  <si>
    <t>2024-05-22</t>
  </si>
  <si>
    <t>anita.roy81@example.com</t>
  </si>
  <si>
    <t>E0082</t>
  </si>
  <si>
    <t>2018-09-07</t>
  </si>
  <si>
    <t>david.khan82@example.com</t>
  </si>
  <si>
    <t>E0083</t>
  </si>
  <si>
    <t>2022-05-13</t>
  </si>
  <si>
    <t>jane.ghosh83@example.com</t>
  </si>
  <si>
    <t>E0084</t>
  </si>
  <si>
    <t>2022-02-06</t>
  </si>
  <si>
    <t>priya.das84@example.com</t>
  </si>
  <si>
    <t>E0085</t>
  </si>
  <si>
    <t>2024-07-15</t>
  </si>
  <si>
    <t>sara.paul85@example.com</t>
  </si>
  <si>
    <t>E0086</t>
  </si>
  <si>
    <t>john.khan86@example.com</t>
  </si>
  <si>
    <t>E0087</t>
  </si>
  <si>
    <t>2022-06-21</t>
  </si>
  <si>
    <t>jane.smith87@example.com</t>
  </si>
  <si>
    <t>E0088</t>
  </si>
  <si>
    <t>2020-03-16</t>
  </si>
  <si>
    <t>rahul.ghosh88@example.com</t>
  </si>
  <si>
    <t>E0089</t>
  </si>
  <si>
    <t>2020-05-24</t>
  </si>
  <si>
    <t>sara.paul89@example.com</t>
  </si>
  <si>
    <t>E0090</t>
  </si>
  <si>
    <t>2024-09-05</t>
  </si>
  <si>
    <t>rohit.paul90@example.com</t>
  </si>
  <si>
    <t>E0091</t>
  </si>
  <si>
    <t>2021-08-09</t>
  </si>
  <si>
    <t>john.roy91@example.com</t>
  </si>
  <si>
    <t>E0092</t>
  </si>
  <si>
    <t>2023-02-11</t>
  </si>
  <si>
    <t>anita.paul92@example.com</t>
  </si>
  <si>
    <t>E0093</t>
  </si>
  <si>
    <t>2020-08-16</t>
  </si>
  <si>
    <t>rahul.khan93@example.com</t>
  </si>
  <si>
    <t>E0094</t>
  </si>
  <si>
    <t>2023-09-19</t>
  </si>
  <si>
    <t>rahul.khan94@example.com</t>
  </si>
  <si>
    <t>E0095</t>
  </si>
  <si>
    <t>2022-05-29</t>
  </si>
  <si>
    <t>priya.singh95@example.com</t>
  </si>
  <si>
    <t>E0096</t>
  </si>
  <si>
    <t>2021-09-27</t>
  </si>
  <si>
    <t>sara.ghosh96@example.com</t>
  </si>
  <si>
    <t>E0097</t>
  </si>
  <si>
    <t>2021-11-16</t>
  </si>
  <si>
    <t>david.paul97@example.com</t>
  </si>
  <si>
    <t>E0098</t>
  </si>
  <si>
    <t>2021-06-17</t>
  </si>
  <si>
    <t>amit.paul98@example.com</t>
  </si>
  <si>
    <t>E0099</t>
  </si>
  <si>
    <t>2022-04-20</t>
  </si>
  <si>
    <t>david.khan99@example.com</t>
  </si>
  <si>
    <t>E0100</t>
  </si>
  <si>
    <t>2019-05-16</t>
  </si>
  <si>
    <t>david.roy100@example.com</t>
  </si>
  <si>
    <t>E0101</t>
  </si>
  <si>
    <t>2021-04-16</t>
  </si>
  <si>
    <t>jane.smith101@example.com</t>
  </si>
  <si>
    <t>E0102</t>
  </si>
  <si>
    <t>2023-01-08</t>
  </si>
  <si>
    <t>anita.sen102@example.com</t>
  </si>
  <si>
    <t>E0103</t>
  </si>
  <si>
    <t>2024-03-08</t>
  </si>
  <si>
    <t>rahul.roy103@example.com</t>
  </si>
  <si>
    <t>E0104</t>
  </si>
  <si>
    <t>2024-08-07</t>
  </si>
  <si>
    <t>rohit.paul104@example.com</t>
  </si>
  <si>
    <t>E0105</t>
  </si>
  <si>
    <t>2020-03-05</t>
  </si>
  <si>
    <t>priya.dutta105@example.com</t>
  </si>
  <si>
    <t>E0106</t>
  </si>
  <si>
    <t>2023-02-21</t>
  </si>
  <si>
    <t>neha.ghosh106@example.com</t>
  </si>
  <si>
    <t>E0107</t>
  </si>
  <si>
    <t>2019-04-27</t>
  </si>
  <si>
    <t>neha.singh107@example.com</t>
  </si>
  <si>
    <t>E0108</t>
  </si>
  <si>
    <t>2018-08-15</t>
  </si>
  <si>
    <t>neha.sen108@example.com</t>
  </si>
  <si>
    <t>E0109</t>
  </si>
  <si>
    <t>2019-02-22</t>
  </si>
  <si>
    <t>john.smith109@example.com</t>
  </si>
  <si>
    <t>E0110</t>
  </si>
  <si>
    <t>2019-03-13</t>
  </si>
  <si>
    <t>neha.das110@example.com</t>
  </si>
  <si>
    <t>E0111</t>
  </si>
  <si>
    <t>2021-10-01</t>
  </si>
  <si>
    <t>amit.dutta111@example.com</t>
  </si>
  <si>
    <t>E0112</t>
  </si>
  <si>
    <t>2021-10-28</t>
  </si>
  <si>
    <t>amit.khan112@example.com</t>
  </si>
  <si>
    <t>E0113</t>
  </si>
  <si>
    <t>2018-06-23</t>
  </si>
  <si>
    <t>anita.das113@example.com</t>
  </si>
  <si>
    <t>E0114</t>
  </si>
  <si>
    <t>2024-07-09</t>
  </si>
  <si>
    <t>david.smith114@example.com</t>
  </si>
  <si>
    <t>E0115</t>
  </si>
  <si>
    <t>2022-01-27</t>
  </si>
  <si>
    <t>sara.roy115@example.com</t>
  </si>
  <si>
    <t>E0116</t>
  </si>
  <si>
    <t>2021-03-04</t>
  </si>
  <si>
    <t>rohit.das116@example.com</t>
  </si>
  <si>
    <t>E0117</t>
  </si>
  <si>
    <t>neha.sen117@example.com</t>
  </si>
  <si>
    <t>E0118</t>
  </si>
  <si>
    <t>2022-07-04</t>
  </si>
  <si>
    <t>neha.khan118@example.com</t>
  </si>
  <si>
    <t>E0119</t>
  </si>
  <si>
    <t>2022-03-08</t>
  </si>
  <si>
    <t>jane.smith119@example.com</t>
  </si>
  <si>
    <t>E0120</t>
  </si>
  <si>
    <t>2022-03-18</t>
  </si>
  <si>
    <t>jane.brown120@example.com</t>
  </si>
  <si>
    <t>E0121</t>
  </si>
  <si>
    <t>2021-10-29</t>
  </si>
  <si>
    <t>priya.ghosh121@example.com</t>
  </si>
  <si>
    <t>E0122</t>
  </si>
  <si>
    <t>2024-05-02</t>
  </si>
  <si>
    <t>jane.singh122@example.com</t>
  </si>
  <si>
    <t>E0123</t>
  </si>
  <si>
    <t>2018-01-25</t>
  </si>
  <si>
    <t>jane.das123@example.com</t>
  </si>
  <si>
    <t>E0124</t>
  </si>
  <si>
    <t>2019-12-21</t>
  </si>
  <si>
    <t>jane.khan124@example.com</t>
  </si>
  <si>
    <t>E0125</t>
  </si>
  <si>
    <t>2019-10-27</t>
  </si>
  <si>
    <t>david.singh125@example.com</t>
  </si>
  <si>
    <t>E0126</t>
  </si>
  <si>
    <t>2018-07-20</t>
  </si>
  <si>
    <t>sara.brown126@example.com</t>
  </si>
  <si>
    <t>E0127</t>
  </si>
  <si>
    <t>2024-07-05</t>
  </si>
  <si>
    <t>john.roy127@example.com</t>
  </si>
  <si>
    <t>E0128</t>
  </si>
  <si>
    <t>2024-05-01</t>
  </si>
  <si>
    <t>anita.das128@example.com</t>
  </si>
  <si>
    <t>E0129</t>
  </si>
  <si>
    <t>2022-12-02</t>
  </si>
  <si>
    <t>priya.singh129@example.com</t>
  </si>
  <si>
    <t>E0130</t>
  </si>
  <si>
    <t>2021-03-29</t>
  </si>
  <si>
    <t>sara.singh130@example.com</t>
  </si>
  <si>
    <t>E0131</t>
  </si>
  <si>
    <t>2019-05-30</t>
  </si>
  <si>
    <t>neha.dutta131@example.com</t>
  </si>
  <si>
    <t>E0132</t>
  </si>
  <si>
    <t>2022-05-07</t>
  </si>
  <si>
    <t>jane.ghosh132@example.com</t>
  </si>
  <si>
    <t>E0133</t>
  </si>
  <si>
    <t>2022-07-18</t>
  </si>
  <si>
    <t>anita.brown133@example.com</t>
  </si>
  <si>
    <t>E0134</t>
  </si>
  <si>
    <t>2023-10-16</t>
  </si>
  <si>
    <t>neha.dutta134@example.com</t>
  </si>
  <si>
    <t>E0135</t>
  </si>
  <si>
    <t>2023-10-24</t>
  </si>
  <si>
    <t>anita.smith135@example.com</t>
  </si>
  <si>
    <t>E0136</t>
  </si>
  <si>
    <t>2019-09-01</t>
  </si>
  <si>
    <t>david.dutta136@example.com</t>
  </si>
  <si>
    <t>E0137</t>
  </si>
  <si>
    <t>2024-03-25</t>
  </si>
  <si>
    <t>priya.khan137@example.com</t>
  </si>
  <si>
    <t>E0138</t>
  </si>
  <si>
    <t>2021-02-03</t>
  </si>
  <si>
    <t>david.ghosh138@example.com</t>
  </si>
  <si>
    <t>E0139</t>
  </si>
  <si>
    <t>2020-11-17</t>
  </si>
  <si>
    <t>rahul.brown139@example.com</t>
  </si>
  <si>
    <t>E0140</t>
  </si>
  <si>
    <t>2018-08-10</t>
  </si>
  <si>
    <t>priya.brown140@example.com</t>
  </si>
  <si>
    <t>E0141</t>
  </si>
  <si>
    <t>2020-08-14</t>
  </si>
  <si>
    <t>sara.das141@example.com</t>
  </si>
  <si>
    <t>E0142</t>
  </si>
  <si>
    <t>2019-03-23</t>
  </si>
  <si>
    <t>david.khan142@example.com</t>
  </si>
  <si>
    <t>E0143</t>
  </si>
  <si>
    <t>2021-04-30</t>
  </si>
  <si>
    <t>john.brown143@example.com</t>
  </si>
  <si>
    <t>E0144</t>
  </si>
  <si>
    <t>2018-07-15</t>
  </si>
  <si>
    <t>anita.sen144@example.com</t>
  </si>
  <si>
    <t>E0145</t>
  </si>
  <si>
    <t>2024-05-05</t>
  </si>
  <si>
    <t>jane.roy145@example.com</t>
  </si>
  <si>
    <t>E0146</t>
  </si>
  <si>
    <t>2019-09-30</t>
  </si>
  <si>
    <t>rohit.ghosh146@example.com</t>
  </si>
  <si>
    <t>E0147</t>
  </si>
  <si>
    <t>2022-05-02</t>
  </si>
  <si>
    <t>david.smith147@example.com</t>
  </si>
  <si>
    <t>E0148</t>
  </si>
  <si>
    <t>2023-11-29</t>
  </si>
  <si>
    <t>sara.singh148@example.com</t>
  </si>
  <si>
    <t>E0149</t>
  </si>
  <si>
    <t>neha.roy149@example.com</t>
  </si>
  <si>
    <t>E0150</t>
  </si>
  <si>
    <t>2018-08-13</t>
  </si>
  <si>
    <t>rohit.das150@example.com</t>
  </si>
  <si>
    <t>E0151</t>
  </si>
  <si>
    <t>2020-01-21</t>
  </si>
  <si>
    <t>priya.dutta151@example.com</t>
  </si>
  <si>
    <t>E0152</t>
  </si>
  <si>
    <t>2020-01-10</t>
  </si>
  <si>
    <t>david.paul152@example.com</t>
  </si>
  <si>
    <t>E0153</t>
  </si>
  <si>
    <t>2021-07-18</t>
  </si>
  <si>
    <t>rohit.paul153@example.com</t>
  </si>
  <si>
    <t>E0154</t>
  </si>
  <si>
    <t>2018-08-07</t>
  </si>
  <si>
    <t>rahul.paul154@example.com</t>
  </si>
  <si>
    <t>E0155</t>
  </si>
  <si>
    <t>2022-07-27</t>
  </si>
  <si>
    <t>sara.roy155@example.com</t>
  </si>
  <si>
    <t>E0156</t>
  </si>
  <si>
    <t>2022-09-19</t>
  </si>
  <si>
    <t>anita.roy156@example.com</t>
  </si>
  <si>
    <t>E0157</t>
  </si>
  <si>
    <t>2019-08-07</t>
  </si>
  <si>
    <t>sara.khan157@example.com</t>
  </si>
  <si>
    <t>E0158</t>
  </si>
  <si>
    <t>2019-01-19</t>
  </si>
  <si>
    <t>anita.singh158@example.com</t>
  </si>
  <si>
    <t>E0159</t>
  </si>
  <si>
    <t>2020-06-29</t>
  </si>
  <si>
    <t>rahul.khan159@example.com</t>
  </si>
  <si>
    <t>E0160</t>
  </si>
  <si>
    <t>2018-07-11</t>
  </si>
  <si>
    <t>anita.brown160@example.com</t>
  </si>
  <si>
    <t>E0161</t>
  </si>
  <si>
    <t>2019-01-08</t>
  </si>
  <si>
    <t>david.dutta161@example.com</t>
  </si>
  <si>
    <t>E0162</t>
  </si>
  <si>
    <t>priya.ghosh162@example.com</t>
  </si>
  <si>
    <t>E0163</t>
  </si>
  <si>
    <t>2018-06-24</t>
  </si>
  <si>
    <t>rohit.paul163@example.com</t>
  </si>
  <si>
    <t>E0164</t>
  </si>
  <si>
    <t>2022-05-16</t>
  </si>
  <si>
    <t>rahul.ghosh164@example.com</t>
  </si>
  <si>
    <t>E0165</t>
  </si>
  <si>
    <t>2024-01-03</t>
  </si>
  <si>
    <t>jane.khan165@example.com</t>
  </si>
  <si>
    <t>E0166</t>
  </si>
  <si>
    <t>2020-04-30</t>
  </si>
  <si>
    <t>sara.paul166@example.com</t>
  </si>
  <si>
    <t>E0167</t>
  </si>
  <si>
    <t>2018-11-21</t>
  </si>
  <si>
    <t>david.khan167@example.com</t>
  </si>
  <si>
    <t>E0168</t>
  </si>
  <si>
    <t>2023-03-12</t>
  </si>
  <si>
    <t>sara.sen168@example.com</t>
  </si>
  <si>
    <t>E0169</t>
  </si>
  <si>
    <t>2019-10-03</t>
  </si>
  <si>
    <t>john.ghosh169@example.com</t>
  </si>
  <si>
    <t>E0170</t>
  </si>
  <si>
    <t>2021-03-03</t>
  </si>
  <si>
    <t>anita.roy170@example.com</t>
  </si>
  <si>
    <t>E0171</t>
  </si>
  <si>
    <t>2020-02-06</t>
  </si>
  <si>
    <t>amit.paul171@example.com</t>
  </si>
  <si>
    <t>E0172</t>
  </si>
  <si>
    <t>2020-03-12</t>
  </si>
  <si>
    <t>neha.singh172@example.com</t>
  </si>
  <si>
    <t>E0173</t>
  </si>
  <si>
    <t>2020-03-13</t>
  </si>
  <si>
    <t>john.singh173@example.com</t>
  </si>
  <si>
    <t>E0174</t>
  </si>
  <si>
    <t>2018-07-21</t>
  </si>
  <si>
    <t>priya.das174@example.com</t>
  </si>
  <si>
    <t>E0175</t>
  </si>
  <si>
    <t>2020-03-19</t>
  </si>
  <si>
    <t>sara.singh175@example.com</t>
  </si>
  <si>
    <t>E0176</t>
  </si>
  <si>
    <t>2023-01-25</t>
  </si>
  <si>
    <t>neha.sen176@example.com</t>
  </si>
  <si>
    <t>E0177</t>
  </si>
  <si>
    <t>2020-07-01</t>
  </si>
  <si>
    <t>sara.paul177@example.com</t>
  </si>
  <si>
    <t>E0178</t>
  </si>
  <si>
    <t>2024-03-20</t>
  </si>
  <si>
    <t>john.khan178@example.com</t>
  </si>
  <si>
    <t>E0179</t>
  </si>
  <si>
    <t>2018-07-28</t>
  </si>
  <si>
    <t>sara.ghosh179@example.com</t>
  </si>
  <si>
    <t>E0180</t>
  </si>
  <si>
    <t>2018-05-03</t>
  </si>
  <si>
    <t>rohit.khan180@example.com</t>
  </si>
  <si>
    <t>E0181</t>
  </si>
  <si>
    <t>2019-09-19</t>
  </si>
  <si>
    <t>rahul.das181@example.com</t>
  </si>
  <si>
    <t>E0182</t>
  </si>
  <si>
    <t>2018-04-15</t>
  </si>
  <si>
    <t>neha.dutta182@example.com</t>
  </si>
  <si>
    <t>E0183</t>
  </si>
  <si>
    <t>2024-06-20</t>
  </si>
  <si>
    <t>anita.sen183@example.com</t>
  </si>
  <si>
    <t>E0184</t>
  </si>
  <si>
    <t>2021-03-12</t>
  </si>
  <si>
    <t>neha.singh184@example.com</t>
  </si>
  <si>
    <t>E0185</t>
  </si>
  <si>
    <t>neha.ghosh185@example.com</t>
  </si>
  <si>
    <t>E0186</t>
  </si>
  <si>
    <t>2019-08-18</t>
  </si>
  <si>
    <t>david.das186@example.com</t>
  </si>
  <si>
    <t>E0187</t>
  </si>
  <si>
    <t>rohit.singh187@example.com</t>
  </si>
  <si>
    <t>E0188</t>
  </si>
  <si>
    <t>2021-08-23</t>
  </si>
  <si>
    <t>rahul.brown188@example.com</t>
  </si>
  <si>
    <t>E0189</t>
  </si>
  <si>
    <t>2018-11-14</t>
  </si>
  <si>
    <t>sara.khan189@example.com</t>
  </si>
  <si>
    <t>E0190</t>
  </si>
  <si>
    <t>2021-04-14</t>
  </si>
  <si>
    <t>john.das190@example.com</t>
  </si>
  <si>
    <t>E0191</t>
  </si>
  <si>
    <t>2019-04-05</t>
  </si>
  <si>
    <t>neha.brown191@example.com</t>
  </si>
  <si>
    <t>E0192</t>
  </si>
  <si>
    <t>2022-09-24</t>
  </si>
  <si>
    <t>neha.smith192@example.com</t>
  </si>
  <si>
    <t>E0193</t>
  </si>
  <si>
    <t>2024-01-12</t>
  </si>
  <si>
    <t>rohit.brown193@example.com</t>
  </si>
  <si>
    <t>E0194</t>
  </si>
  <si>
    <t>2020-05-01</t>
  </si>
  <si>
    <t>priya.ghosh194@example.com</t>
  </si>
  <si>
    <t>E0195</t>
  </si>
  <si>
    <t>2019-08-23</t>
  </si>
  <si>
    <t>amit.brown195@example.com</t>
  </si>
  <si>
    <t>E0196</t>
  </si>
  <si>
    <t>2022-01-15</t>
  </si>
  <si>
    <t>john.sen196@example.com</t>
  </si>
  <si>
    <t>E0197</t>
  </si>
  <si>
    <t>2018-05-27</t>
  </si>
  <si>
    <t>amit.singh197@example.com</t>
  </si>
  <si>
    <t>E0198</t>
  </si>
  <si>
    <t>jane.das198@example.com</t>
  </si>
  <si>
    <t>E0199</t>
  </si>
  <si>
    <t>2018-02-17</t>
  </si>
  <si>
    <t>anita.paul199@example.com</t>
  </si>
  <si>
    <t>E0200</t>
  </si>
  <si>
    <t>2023-06-18</t>
  </si>
  <si>
    <t>priya.brown200@example.com</t>
  </si>
  <si>
    <t>E0201</t>
  </si>
  <si>
    <t>2022-04-23</t>
  </si>
  <si>
    <t>rohit.roy201@example.com</t>
  </si>
  <si>
    <t>E0202</t>
  </si>
  <si>
    <t>2021-07-17</t>
  </si>
  <si>
    <t>jane.brown202@example.com</t>
  </si>
  <si>
    <t>E0203</t>
  </si>
  <si>
    <t>2023-04-16</t>
  </si>
  <si>
    <t>rohit.khan203@example.com</t>
  </si>
  <si>
    <t>E0204</t>
  </si>
  <si>
    <t>2019-02-19</t>
  </si>
  <si>
    <t>rohit.roy204@example.com</t>
  </si>
  <si>
    <t>E0205</t>
  </si>
  <si>
    <t>2018-11-01</t>
  </si>
  <si>
    <t>john.ghosh205@example.com</t>
  </si>
  <si>
    <t>E0206</t>
  </si>
  <si>
    <t>amit.ghosh206@example.com</t>
  </si>
  <si>
    <t>E0207</t>
  </si>
  <si>
    <t>2020-07-24</t>
  </si>
  <si>
    <t>amit.dutta207@example.com</t>
  </si>
  <si>
    <t>E0208</t>
  </si>
  <si>
    <t>2023-10-25</t>
  </si>
  <si>
    <t>anita.singh208@example.com</t>
  </si>
  <si>
    <t>E0209</t>
  </si>
  <si>
    <t>rohit.dutta209@example.com</t>
  </si>
  <si>
    <t>E0210</t>
  </si>
  <si>
    <t>2022-03-22</t>
  </si>
  <si>
    <t>david.brown210@example.com</t>
  </si>
  <si>
    <t>E0211</t>
  </si>
  <si>
    <t>2018-09-02</t>
  </si>
  <si>
    <t>priya.ghosh211@example.com</t>
  </si>
  <si>
    <t>E0212</t>
  </si>
  <si>
    <t>2021-05-26</t>
  </si>
  <si>
    <t>neha.roy212@example.com</t>
  </si>
  <si>
    <t>E0213</t>
  </si>
  <si>
    <t>2020-10-26</t>
  </si>
  <si>
    <t>rohit.khan213@example.com</t>
  </si>
  <si>
    <t>E0214</t>
  </si>
  <si>
    <t>2023-12-13</t>
  </si>
  <si>
    <t>rahul.das214@example.com</t>
  </si>
  <si>
    <t>E0215</t>
  </si>
  <si>
    <t>2021-07-19</t>
  </si>
  <si>
    <t>david.singh215@example.com</t>
  </si>
  <si>
    <t>E0216</t>
  </si>
  <si>
    <t>2022-11-13</t>
  </si>
  <si>
    <t>david.ghosh216@example.com</t>
  </si>
  <si>
    <t>E0217</t>
  </si>
  <si>
    <t>priya.khan217@example.com</t>
  </si>
  <si>
    <t>E0218</t>
  </si>
  <si>
    <t>2019-07-08</t>
  </si>
  <si>
    <t>rohit.das218@example.com</t>
  </si>
  <si>
    <t>E0219</t>
  </si>
  <si>
    <t>2018-06-08</t>
  </si>
  <si>
    <t>david.sen219@example.com</t>
  </si>
  <si>
    <t>E0220</t>
  </si>
  <si>
    <t>neha.roy220@example.com</t>
  </si>
  <si>
    <t>E0221</t>
  </si>
  <si>
    <t>amit.paul221@example.com</t>
  </si>
  <si>
    <t>E0222</t>
  </si>
  <si>
    <t>2022-08-10</t>
  </si>
  <si>
    <t>amit.sen222@example.com</t>
  </si>
  <si>
    <t>E0223</t>
  </si>
  <si>
    <t>2018-04-30</t>
  </si>
  <si>
    <t>john.ghosh223@example.com</t>
  </si>
  <si>
    <t>E0224</t>
  </si>
  <si>
    <t>2020-06-30</t>
  </si>
  <si>
    <t>john.brown224@example.com</t>
  </si>
  <si>
    <t>E0225</t>
  </si>
  <si>
    <t>2024-06-07</t>
  </si>
  <si>
    <t>david.sen225@example.com</t>
  </si>
  <si>
    <t>E0226</t>
  </si>
  <si>
    <t>2021-08-15</t>
  </si>
  <si>
    <t>rohit.ghosh226@example.com</t>
  </si>
  <si>
    <t>E0227</t>
  </si>
  <si>
    <t>2020-08-20</t>
  </si>
  <si>
    <t>priya.khan227@example.com</t>
  </si>
  <si>
    <t>E0228</t>
  </si>
  <si>
    <t>2019-03-16</t>
  </si>
  <si>
    <t>neha.brown228@example.com</t>
  </si>
  <si>
    <t>E0229</t>
  </si>
  <si>
    <t>2020-09-08</t>
  </si>
  <si>
    <t>jane.brown229@example.com</t>
  </si>
  <si>
    <t>E0230</t>
  </si>
  <si>
    <t>2018-07-01</t>
  </si>
  <si>
    <t>david.khan230@example.com</t>
  </si>
  <si>
    <t>E0231</t>
  </si>
  <si>
    <t>2018-08-22</t>
  </si>
  <si>
    <t>priya.roy231@example.com</t>
  </si>
  <si>
    <t>E0232</t>
  </si>
  <si>
    <t>2021-11-21</t>
  </si>
  <si>
    <t>amit.sen232@example.com</t>
  </si>
  <si>
    <t>E0233</t>
  </si>
  <si>
    <t>2023-12-29</t>
  </si>
  <si>
    <t>david.dutta233@example.com</t>
  </si>
  <si>
    <t>E0234</t>
  </si>
  <si>
    <t>2021-01-17</t>
  </si>
  <si>
    <t>priya.roy234@example.com</t>
  </si>
  <si>
    <t>E0235</t>
  </si>
  <si>
    <t>2021-01-06</t>
  </si>
  <si>
    <t>jane.ghosh235@example.com</t>
  </si>
  <si>
    <t>E0236</t>
  </si>
  <si>
    <t>2021-06-01</t>
  </si>
  <si>
    <t>john.brown236@example.com</t>
  </si>
  <si>
    <t>E0237</t>
  </si>
  <si>
    <t>2022-03-12</t>
  </si>
  <si>
    <t>rohit.ghosh237@example.com</t>
  </si>
  <si>
    <t>E0238</t>
  </si>
  <si>
    <t>2022-04-29</t>
  </si>
  <si>
    <t>amit.brown238@example.com</t>
  </si>
  <si>
    <t>E0239</t>
  </si>
  <si>
    <t>2022-06-12</t>
  </si>
  <si>
    <t>neha.paul239@example.com</t>
  </si>
  <si>
    <t>E0240</t>
  </si>
  <si>
    <t>2023-04-07</t>
  </si>
  <si>
    <t>rohit.smith240@example.com</t>
  </si>
  <si>
    <t>E0241</t>
  </si>
  <si>
    <t>2023-07-08</t>
  </si>
  <si>
    <t>sara.das241@example.com</t>
  </si>
  <si>
    <t>E0242</t>
  </si>
  <si>
    <t>2024-07-17</t>
  </si>
  <si>
    <t>priya.dutta242@example.com</t>
  </si>
  <si>
    <t>E0243</t>
  </si>
  <si>
    <t>2020-06-03</t>
  </si>
  <si>
    <t>david.ghosh243@example.com</t>
  </si>
  <si>
    <t>E0244</t>
  </si>
  <si>
    <t>rohit.paul244@example.com</t>
  </si>
  <si>
    <t>E0245</t>
  </si>
  <si>
    <t>rahul.sen245@example.com</t>
  </si>
  <si>
    <t>E0246</t>
  </si>
  <si>
    <t>2023-08-01</t>
  </si>
  <si>
    <t>amit.ghosh246@example.com</t>
  </si>
  <si>
    <t>E0247</t>
  </si>
  <si>
    <t>2020-08-24</t>
  </si>
  <si>
    <t>neha.das247@example.com</t>
  </si>
  <si>
    <t>E0248</t>
  </si>
  <si>
    <t>2019-02-01</t>
  </si>
  <si>
    <t>jane.dutta248@example.com</t>
  </si>
  <si>
    <t>E0249</t>
  </si>
  <si>
    <t>jane.singh249@example.com</t>
  </si>
  <si>
    <t>E0250</t>
  </si>
  <si>
    <t>2023-04-21</t>
  </si>
  <si>
    <t>anita.roy250@example.com</t>
  </si>
  <si>
    <t>E0251</t>
  </si>
  <si>
    <t>2020-03-02</t>
  </si>
  <si>
    <t>rahul.paul251@example.com</t>
  </si>
  <si>
    <t>E0252</t>
  </si>
  <si>
    <t>sara.brown252@example.com</t>
  </si>
  <si>
    <t>E0253</t>
  </si>
  <si>
    <t>2024-10-11</t>
  </si>
  <si>
    <t>david.smith253@example.com</t>
  </si>
  <si>
    <t>E0254</t>
  </si>
  <si>
    <t>2018-06-17</t>
  </si>
  <si>
    <t>david.ghosh254@example.com</t>
  </si>
  <si>
    <t>E0255</t>
  </si>
  <si>
    <t>2021-09-29</t>
  </si>
  <si>
    <t>rahul.paul255@example.com</t>
  </si>
  <si>
    <t>E0256</t>
  </si>
  <si>
    <t>2023-06-19</t>
  </si>
  <si>
    <t>neha.das256@example.com</t>
  </si>
  <si>
    <t>E0257</t>
  </si>
  <si>
    <t>2023-07-15</t>
  </si>
  <si>
    <t>neha.khan257@example.com</t>
  </si>
  <si>
    <t>E0258</t>
  </si>
  <si>
    <t>2018-11-06</t>
  </si>
  <si>
    <t>jane.smith258@example.com</t>
  </si>
  <si>
    <t>E0259</t>
  </si>
  <si>
    <t>2020-05-03</t>
  </si>
  <si>
    <t>neha.brown259@example.com</t>
  </si>
  <si>
    <t>E0260</t>
  </si>
  <si>
    <t>jane.ghosh260@example.com</t>
  </si>
  <si>
    <t>E0261</t>
  </si>
  <si>
    <t>2023-04-11</t>
  </si>
  <si>
    <t>sara.ghosh261@example.com</t>
  </si>
  <si>
    <t>E0262</t>
  </si>
  <si>
    <t>sara.das262@example.com</t>
  </si>
  <si>
    <t>E0263</t>
  </si>
  <si>
    <t>2020-10-27</t>
  </si>
  <si>
    <t>rohit.paul263@example.com</t>
  </si>
  <si>
    <t>E0264</t>
  </si>
  <si>
    <t>2018-03-24</t>
  </si>
  <si>
    <t>priya.das264@example.com</t>
  </si>
  <si>
    <t>E0265</t>
  </si>
  <si>
    <t>2021-03-09</t>
  </si>
  <si>
    <t>rohit.khan265@example.com</t>
  </si>
  <si>
    <t>E0266</t>
  </si>
  <si>
    <t>2019-07-24</t>
  </si>
  <si>
    <t>john.dutta266@example.com</t>
  </si>
  <si>
    <t>E0267</t>
  </si>
  <si>
    <t>2022-12-14</t>
  </si>
  <si>
    <t>anita.brown267@example.com</t>
  </si>
  <si>
    <t>E0268</t>
  </si>
  <si>
    <t>2018-02-14</t>
  </si>
  <si>
    <t>jane.khan268@example.com</t>
  </si>
  <si>
    <t>E0269</t>
  </si>
  <si>
    <t>2022-08-07</t>
  </si>
  <si>
    <t>sara.singh269@example.com</t>
  </si>
  <si>
    <t>E0270</t>
  </si>
  <si>
    <t>2020-01-14</t>
  </si>
  <si>
    <t>amit.sen270@example.com</t>
  </si>
  <si>
    <t>E0271</t>
  </si>
  <si>
    <t>2022-06-11</t>
  </si>
  <si>
    <t>amit.khan271@example.com</t>
  </si>
  <si>
    <t>E0272</t>
  </si>
  <si>
    <t>2022-07-26</t>
  </si>
  <si>
    <t>rohit.ghosh272@example.com</t>
  </si>
  <si>
    <t>E0273</t>
  </si>
  <si>
    <t>2023-08-22</t>
  </si>
  <si>
    <t>neha.sen273@example.com</t>
  </si>
  <si>
    <t>E0274</t>
  </si>
  <si>
    <t>2018-06-26</t>
  </si>
  <si>
    <t>priya.roy274@example.com</t>
  </si>
  <si>
    <t>E0275</t>
  </si>
  <si>
    <t>2023-07-10</t>
  </si>
  <si>
    <t>amit.paul275@example.com</t>
  </si>
  <si>
    <t>E0276</t>
  </si>
  <si>
    <t>2022-08-30</t>
  </si>
  <si>
    <t>sara.roy276@example.com</t>
  </si>
  <si>
    <t>E0277</t>
  </si>
  <si>
    <t>2024-09-11</t>
  </si>
  <si>
    <t>priya.ghosh277@example.com</t>
  </si>
  <si>
    <t>E0278</t>
  </si>
  <si>
    <t>2024-09-14</t>
  </si>
  <si>
    <t>rahul.smith278@example.com</t>
  </si>
  <si>
    <t>E0279</t>
  </si>
  <si>
    <t>2020-11-07</t>
  </si>
  <si>
    <t>david.brown279@example.com</t>
  </si>
  <si>
    <t>E0280</t>
  </si>
  <si>
    <t>2020-10-31</t>
  </si>
  <si>
    <t>rahul.das280@example.com</t>
  </si>
  <si>
    <t>E0281</t>
  </si>
  <si>
    <t>2021-01-02</t>
  </si>
  <si>
    <t>neha.brown281@example.com</t>
  </si>
  <si>
    <t>E0282</t>
  </si>
  <si>
    <t>2021-09-01</t>
  </si>
  <si>
    <t>neha.smith282@example.com</t>
  </si>
  <si>
    <t>E0283</t>
  </si>
  <si>
    <t>2021-10-10</t>
  </si>
  <si>
    <t>john.roy283@example.com</t>
  </si>
  <si>
    <t>E0284</t>
  </si>
  <si>
    <t>jane.smith284@example.com</t>
  </si>
  <si>
    <t>E0285</t>
  </si>
  <si>
    <t>2024-05-29</t>
  </si>
  <si>
    <t>sara.ghosh285@example.com</t>
  </si>
  <si>
    <t>E0286</t>
  </si>
  <si>
    <t>2019-04-13</t>
  </si>
  <si>
    <t>anita.ghosh286@example.com</t>
  </si>
  <si>
    <t>E0287</t>
  </si>
  <si>
    <t>2020-09-17</t>
  </si>
  <si>
    <t>john.das287@example.com</t>
  </si>
  <si>
    <t>E0288</t>
  </si>
  <si>
    <t>2022-01-16</t>
  </si>
  <si>
    <t>sara.smith288@example.com</t>
  </si>
  <si>
    <t>E0289</t>
  </si>
  <si>
    <t>2021-04-04</t>
  </si>
  <si>
    <t>rahul.brown289@example.com</t>
  </si>
  <si>
    <t>E0290</t>
  </si>
  <si>
    <t>2020-11-24</t>
  </si>
  <si>
    <t>priya.singh290@example.com</t>
  </si>
  <si>
    <t>E0291</t>
  </si>
  <si>
    <t>2020-06-26</t>
  </si>
  <si>
    <t>john.ghosh291@example.com</t>
  </si>
  <si>
    <t>E0292</t>
  </si>
  <si>
    <t>2021-05-15</t>
  </si>
  <si>
    <t>neha.das292@example.com</t>
  </si>
  <si>
    <t>E0293</t>
  </si>
  <si>
    <t>2023-07-29</t>
  </si>
  <si>
    <t>david.ghosh293@example.com</t>
  </si>
  <si>
    <t>E0294</t>
  </si>
  <si>
    <t>2018-05-16</t>
  </si>
  <si>
    <t>amit.ghosh294@example.com</t>
  </si>
  <si>
    <t>E0295</t>
  </si>
  <si>
    <t>2022-04-21</t>
  </si>
  <si>
    <t>neha.singh295@example.com</t>
  </si>
  <si>
    <t>E0296</t>
  </si>
  <si>
    <t>2018-11-24</t>
  </si>
  <si>
    <t>rohit.smith296@example.com</t>
  </si>
  <si>
    <t>E0297</t>
  </si>
  <si>
    <t>2023-08-06</t>
  </si>
  <si>
    <t>amit.khan297@example.com</t>
  </si>
  <si>
    <t>E0298</t>
  </si>
  <si>
    <t>2020-09-22</t>
  </si>
  <si>
    <t>anita.dutta298@example.com</t>
  </si>
  <si>
    <t>E0299</t>
  </si>
  <si>
    <t>2023-10-18</t>
  </si>
  <si>
    <t>rohit.smith299@example.com</t>
  </si>
  <si>
    <t>E0300</t>
  </si>
  <si>
    <t>2020-08-18</t>
  </si>
  <si>
    <t>jane.khan300@example.com</t>
  </si>
  <si>
    <t>E0301</t>
  </si>
  <si>
    <t>2024-02-19</t>
  </si>
  <si>
    <t>david.das301@example.com</t>
  </si>
  <si>
    <t>E0302</t>
  </si>
  <si>
    <t>jane.roy302@example.com</t>
  </si>
  <si>
    <t>E0303</t>
  </si>
  <si>
    <t>2019-12-07</t>
  </si>
  <si>
    <t>amit.dutta303@example.com</t>
  </si>
  <si>
    <t>E0304</t>
  </si>
  <si>
    <t>2019-07-10</t>
  </si>
  <si>
    <t>neha.smith304@example.com</t>
  </si>
  <si>
    <t>E0305</t>
  </si>
  <si>
    <t>2019-03-29</t>
  </si>
  <si>
    <t>david.ghosh305@example.com</t>
  </si>
  <si>
    <t>E0306</t>
  </si>
  <si>
    <t>2021-05-21</t>
  </si>
  <si>
    <t>john.das306@example.com</t>
  </si>
  <si>
    <t>E0307</t>
  </si>
  <si>
    <t>2023-09-10</t>
  </si>
  <si>
    <t>david.khan307@example.com</t>
  </si>
  <si>
    <t>E0308</t>
  </si>
  <si>
    <t>2018-09-20</t>
  </si>
  <si>
    <t>rahul.sen308@example.com</t>
  </si>
  <si>
    <t>E0309</t>
  </si>
  <si>
    <t>neha.singh309@example.com</t>
  </si>
  <si>
    <t>E0310</t>
  </si>
  <si>
    <t>2022-02-16</t>
  </si>
  <si>
    <t>sara.singh310@example.com</t>
  </si>
  <si>
    <t>E0311</t>
  </si>
  <si>
    <t>sara.roy311@example.com</t>
  </si>
  <si>
    <t>E0312</t>
  </si>
  <si>
    <t>2019-05-02</t>
  </si>
  <si>
    <t>neha.brown312@example.com</t>
  </si>
  <si>
    <t>E0313</t>
  </si>
  <si>
    <t>2023-08-31</t>
  </si>
  <si>
    <t>jane.brown313@example.com</t>
  </si>
  <si>
    <t>E0314</t>
  </si>
  <si>
    <t>2018-03-05</t>
  </si>
  <si>
    <t>rohit.roy314@example.com</t>
  </si>
  <si>
    <t>E0315</t>
  </si>
  <si>
    <t>2020-07-02</t>
  </si>
  <si>
    <t>amit.brown315@example.com</t>
  </si>
  <si>
    <t>E0316</t>
  </si>
  <si>
    <t>2019-09-21</t>
  </si>
  <si>
    <t>sara.das316@example.com</t>
  </si>
  <si>
    <t>E0317</t>
  </si>
  <si>
    <t>2019-01-09</t>
  </si>
  <si>
    <t>sara.roy317@example.com</t>
  </si>
  <si>
    <t>E0318</t>
  </si>
  <si>
    <t>2018-12-15</t>
  </si>
  <si>
    <t>neha.das318@example.com</t>
  </si>
  <si>
    <t>E0319</t>
  </si>
  <si>
    <t>2020-07-26</t>
  </si>
  <si>
    <t>david.smith319@example.com</t>
  </si>
  <si>
    <t>E0320</t>
  </si>
  <si>
    <t>david.sen320@example.com</t>
  </si>
  <si>
    <t>E0321</t>
  </si>
  <si>
    <t>2022-09-10</t>
  </si>
  <si>
    <t>jane.smith321@example.com</t>
  </si>
  <si>
    <t>E0322</t>
  </si>
  <si>
    <t>2018-12-26</t>
  </si>
  <si>
    <t>john.das322@example.com</t>
  </si>
  <si>
    <t>E0323</t>
  </si>
  <si>
    <t>2021-05-08</t>
  </si>
  <si>
    <t>rohit.ghosh323@example.com</t>
  </si>
  <si>
    <t>E0324</t>
  </si>
  <si>
    <t>2022-04-07</t>
  </si>
  <si>
    <t>david.ghosh324@example.com</t>
  </si>
  <si>
    <t>E0325</t>
  </si>
  <si>
    <t>2019-03-07</t>
  </si>
  <si>
    <t>jane.ghosh325@example.com</t>
  </si>
  <si>
    <t>E0326</t>
  </si>
  <si>
    <t>2019-02-14</t>
  </si>
  <si>
    <t>amit.brown326@example.com</t>
  </si>
  <si>
    <t>E0327</t>
  </si>
  <si>
    <t>2023-05-11</t>
  </si>
  <si>
    <t>sara.paul327@example.com</t>
  </si>
  <si>
    <t>E0328</t>
  </si>
  <si>
    <t>2022-10-16</t>
  </si>
  <si>
    <t>sara.roy328@example.com</t>
  </si>
  <si>
    <t>E0329</t>
  </si>
  <si>
    <t>2021-03-27</t>
  </si>
  <si>
    <t>rahul.smith329@example.com</t>
  </si>
  <si>
    <t>E0330</t>
  </si>
  <si>
    <t>2023-03-20</t>
  </si>
  <si>
    <t>amit.ghosh330@example.com</t>
  </si>
  <si>
    <t>E0331</t>
  </si>
  <si>
    <t>2022-05-01</t>
  </si>
  <si>
    <t>priya.khan331@example.com</t>
  </si>
  <si>
    <t>E0332</t>
  </si>
  <si>
    <t>neha.singh332@example.com</t>
  </si>
  <si>
    <t>E0333</t>
  </si>
  <si>
    <t>2023-03-09</t>
  </si>
  <si>
    <t>anita.brown333@example.com</t>
  </si>
  <si>
    <t>E0334</t>
  </si>
  <si>
    <t>2019-02-16</t>
  </si>
  <si>
    <t>david.sen334@example.com</t>
  </si>
  <si>
    <t>E0335</t>
  </si>
  <si>
    <t>2024-01-14</t>
  </si>
  <si>
    <t>jane.das335@example.com</t>
  </si>
  <si>
    <t>E0336</t>
  </si>
  <si>
    <t>2020-08-28</t>
  </si>
  <si>
    <t>john.paul336@example.com</t>
  </si>
  <si>
    <t>E0337</t>
  </si>
  <si>
    <t>2024-08-11</t>
  </si>
  <si>
    <t>rohit.sen337@example.com</t>
  </si>
  <si>
    <t>E0338</t>
  </si>
  <si>
    <t>2020-04-24</t>
  </si>
  <si>
    <t>neha.khan338@example.com</t>
  </si>
  <si>
    <t>E0339</t>
  </si>
  <si>
    <t>2024-06-21</t>
  </si>
  <si>
    <t>sara.smith339@example.com</t>
  </si>
  <si>
    <t>E0340</t>
  </si>
  <si>
    <t>2018-07-07</t>
  </si>
  <si>
    <t>priya.ghosh340@example.com</t>
  </si>
  <si>
    <t>E0341</t>
  </si>
  <si>
    <t>2024-05-28</t>
  </si>
  <si>
    <t>john.das341@example.com</t>
  </si>
  <si>
    <t>E0342</t>
  </si>
  <si>
    <t>2024-04-06</t>
  </si>
  <si>
    <t>rohit.sen342@example.com</t>
  </si>
  <si>
    <t>E0343</t>
  </si>
  <si>
    <t>2020-01-29</t>
  </si>
  <si>
    <t>anita.roy343@example.com</t>
  </si>
  <si>
    <t>E0344</t>
  </si>
  <si>
    <t>2022-12-13</t>
  </si>
  <si>
    <t>rohit.smith344@example.com</t>
  </si>
  <si>
    <t>E0345</t>
  </si>
  <si>
    <t>2019-10-22</t>
  </si>
  <si>
    <t>anita.paul345@example.com</t>
  </si>
  <si>
    <t>E0346</t>
  </si>
  <si>
    <t>2022-07-13</t>
  </si>
  <si>
    <t>jane.sen346@example.com</t>
  </si>
  <si>
    <t>E0347</t>
  </si>
  <si>
    <t>2020-01-23</t>
  </si>
  <si>
    <t>john.khan347@example.com</t>
  </si>
  <si>
    <t>E0348</t>
  </si>
  <si>
    <t>2024-04-03</t>
  </si>
  <si>
    <t>amit.singh348@example.com</t>
  </si>
  <si>
    <t>E0349</t>
  </si>
  <si>
    <t>2018-05-19</t>
  </si>
  <si>
    <t>priya.das349@example.com</t>
  </si>
  <si>
    <t>E0350</t>
  </si>
  <si>
    <t>2021-03-26</t>
  </si>
  <si>
    <t>rahul.dutta350@example.com</t>
  </si>
  <si>
    <t>E0351</t>
  </si>
  <si>
    <t>2024-09-22</t>
  </si>
  <si>
    <t>rahul.ghosh351@example.com</t>
  </si>
  <si>
    <t>E0352</t>
  </si>
  <si>
    <t>2019-06-05</t>
  </si>
  <si>
    <t>jane.paul352@example.com</t>
  </si>
  <si>
    <t>E0353</t>
  </si>
  <si>
    <t>2022-08-22</t>
  </si>
  <si>
    <t>neha.singh353@example.com</t>
  </si>
  <si>
    <t>E0354</t>
  </si>
  <si>
    <t>2023-07-01</t>
  </si>
  <si>
    <t>anita.smith354@example.com</t>
  </si>
  <si>
    <t>E0355</t>
  </si>
  <si>
    <t>2018-08-12</t>
  </si>
  <si>
    <t>sara.dutta355@example.com</t>
  </si>
  <si>
    <t>E0356</t>
  </si>
  <si>
    <t>2022-05-28</t>
  </si>
  <si>
    <t>sara.paul356@example.com</t>
  </si>
  <si>
    <t>E0357</t>
  </si>
  <si>
    <t>2019-06-10</t>
  </si>
  <si>
    <t>john.sen357@example.com</t>
  </si>
  <si>
    <t>E0358</t>
  </si>
  <si>
    <t>2018-10-09</t>
  </si>
  <si>
    <t>john.smith358@example.com</t>
  </si>
  <si>
    <t>E0359</t>
  </si>
  <si>
    <t>2021-03-06</t>
  </si>
  <si>
    <t>rohit.das359@example.com</t>
  </si>
  <si>
    <t>E0360</t>
  </si>
  <si>
    <t>2021-05-28</t>
  </si>
  <si>
    <t>john.das360@example.com</t>
  </si>
  <si>
    <t>E0361</t>
  </si>
  <si>
    <t>2023-11-01</t>
  </si>
  <si>
    <t>john.dutta361@example.com</t>
  </si>
  <si>
    <t>E0362</t>
  </si>
  <si>
    <t>2024-06-01</t>
  </si>
  <si>
    <t>anita.dutta362@example.com</t>
  </si>
  <si>
    <t>E0363</t>
  </si>
  <si>
    <t>2019-04-16</t>
  </si>
  <si>
    <t>amit.dutta363@example.com</t>
  </si>
  <si>
    <t>E0364</t>
  </si>
  <si>
    <t>2019-11-16</t>
  </si>
  <si>
    <t>neha.brown364@example.com</t>
  </si>
  <si>
    <t>E0365</t>
  </si>
  <si>
    <t>2019-08-22</t>
  </si>
  <si>
    <t>neha.dutta365@example.com</t>
  </si>
  <si>
    <t>E0366</t>
  </si>
  <si>
    <t>2023-11-10</t>
  </si>
  <si>
    <t>rahul.smith366@example.com</t>
  </si>
  <si>
    <t>E0367</t>
  </si>
  <si>
    <t>2019-05-14</t>
  </si>
  <si>
    <t>sara.khan367@example.com</t>
  </si>
  <si>
    <t>E0368</t>
  </si>
  <si>
    <t>2018-06-29</t>
  </si>
  <si>
    <t>rohit.ghosh368@example.com</t>
  </si>
  <si>
    <t>E0369</t>
  </si>
  <si>
    <t>2018-07-18</t>
  </si>
  <si>
    <t>john.das369@example.com</t>
  </si>
  <si>
    <t>E0370</t>
  </si>
  <si>
    <t>2020-08-30</t>
  </si>
  <si>
    <t>priya.das370@example.com</t>
  </si>
  <si>
    <t>E0371</t>
  </si>
  <si>
    <t>2023-01-18</t>
  </si>
  <si>
    <t>neha.singh371@example.com</t>
  </si>
  <si>
    <t>E0372</t>
  </si>
  <si>
    <t>amit.das372@example.com</t>
  </si>
  <si>
    <t>E0373</t>
  </si>
  <si>
    <t>rohit.khan373@example.com</t>
  </si>
  <si>
    <t>E0374</t>
  </si>
  <si>
    <t>2020-10-07</t>
  </si>
  <si>
    <t>sara.paul374@example.com</t>
  </si>
  <si>
    <t>E0375</t>
  </si>
  <si>
    <t>2023-10-12</t>
  </si>
  <si>
    <t>amit.brown375@example.com</t>
  </si>
  <si>
    <t>E0376</t>
  </si>
  <si>
    <t>2024-09-18</t>
  </si>
  <si>
    <t>priya.dutta376@example.com</t>
  </si>
  <si>
    <t>E0377</t>
  </si>
  <si>
    <t>2024-04-26</t>
  </si>
  <si>
    <t>sara.paul377@example.com</t>
  </si>
  <si>
    <t>E0378</t>
  </si>
  <si>
    <t>2024-04-14</t>
  </si>
  <si>
    <t>priya.paul378@example.com</t>
  </si>
  <si>
    <t>E0379</t>
  </si>
  <si>
    <t>2020-03-23</t>
  </si>
  <si>
    <t>john.dutta379@example.com</t>
  </si>
  <si>
    <t>E0380</t>
  </si>
  <si>
    <t>2023-05-20</t>
  </si>
  <si>
    <t>rahul.dutta380@example.com</t>
  </si>
  <si>
    <t>E0381</t>
  </si>
  <si>
    <t>david.singh381@example.com</t>
  </si>
  <si>
    <t>E0382</t>
  </si>
  <si>
    <t>2018-02-03</t>
  </si>
  <si>
    <t>david.singh382@example.com</t>
  </si>
  <si>
    <t>E0383</t>
  </si>
  <si>
    <t>2018-07-13</t>
  </si>
  <si>
    <t>jane.das383@example.com</t>
  </si>
  <si>
    <t>E0384</t>
  </si>
  <si>
    <t>2022-02-03</t>
  </si>
  <si>
    <t>rohit.khan384@example.com</t>
  </si>
  <si>
    <t>E0385</t>
  </si>
  <si>
    <t>rohit.smith385@example.com</t>
  </si>
  <si>
    <t>E0386</t>
  </si>
  <si>
    <t>2024-04-16</t>
  </si>
  <si>
    <t>neha.dutta386@example.com</t>
  </si>
  <si>
    <t>E0387</t>
  </si>
  <si>
    <t>2021-12-10</t>
  </si>
  <si>
    <t>john.das387@example.com</t>
  </si>
  <si>
    <t>E0388</t>
  </si>
  <si>
    <t>2018-04-26</t>
  </si>
  <si>
    <t>anita.das388@example.com</t>
  </si>
  <si>
    <t>E0389</t>
  </si>
  <si>
    <t>2023-01-05</t>
  </si>
  <si>
    <t>priya.brown389@example.com</t>
  </si>
  <si>
    <t>E0390</t>
  </si>
  <si>
    <t>2023-07-12</t>
  </si>
  <si>
    <t>rohit.khan390@example.com</t>
  </si>
  <si>
    <t>E0391</t>
  </si>
  <si>
    <t>2022-09-18</t>
  </si>
  <si>
    <t>rahul.khan391@example.com</t>
  </si>
  <si>
    <t>E0392</t>
  </si>
  <si>
    <t>2018-01-22</t>
  </si>
  <si>
    <t>john.paul392@example.com</t>
  </si>
  <si>
    <t>E0393</t>
  </si>
  <si>
    <t>2023-03-21</t>
  </si>
  <si>
    <t>jane.paul393@example.com</t>
  </si>
  <si>
    <t>E0394</t>
  </si>
  <si>
    <t>2022-12-07</t>
  </si>
  <si>
    <t>sara.sen394@example.com</t>
  </si>
  <si>
    <t>E0395</t>
  </si>
  <si>
    <t>2022-01-19</t>
  </si>
  <si>
    <t>rahul.dutta395@example.com</t>
  </si>
  <si>
    <t>E0396</t>
  </si>
  <si>
    <t>2021-03-28</t>
  </si>
  <si>
    <t>rohit.brown396@example.com</t>
  </si>
  <si>
    <t>E0397</t>
  </si>
  <si>
    <t>2023-04-03</t>
  </si>
  <si>
    <t>david.das397@example.com</t>
  </si>
  <si>
    <t>E0398</t>
  </si>
  <si>
    <t>2019-06-25</t>
  </si>
  <si>
    <t>anita.brown398@example.com</t>
  </si>
  <si>
    <t>E0399</t>
  </si>
  <si>
    <t>jane.ghosh399@example.com</t>
  </si>
  <si>
    <t>E0400</t>
  </si>
  <si>
    <t>2022-01-07</t>
  </si>
  <si>
    <t>priya.das400@example.com</t>
  </si>
  <si>
    <t>E0401</t>
  </si>
  <si>
    <t>2021-10-14</t>
  </si>
  <si>
    <t>anita.roy401@example.com</t>
  </si>
  <si>
    <t>E0402</t>
  </si>
  <si>
    <t>2022-09-09</t>
  </si>
  <si>
    <t>anita.paul402@example.com</t>
  </si>
  <si>
    <t>E0403</t>
  </si>
  <si>
    <t>2020-05-12</t>
  </si>
  <si>
    <t>anita.brown403@example.com</t>
  </si>
  <si>
    <t>E0404</t>
  </si>
  <si>
    <t>2023-10-02</t>
  </si>
  <si>
    <t>jane.dutta404@example.com</t>
  </si>
  <si>
    <t>E0405</t>
  </si>
  <si>
    <t>2023-10-05</t>
  </si>
  <si>
    <t>priya.smith405@example.com</t>
  </si>
  <si>
    <t>E0406</t>
  </si>
  <si>
    <t>2023-02-02</t>
  </si>
  <si>
    <t>neha.roy406@example.com</t>
  </si>
  <si>
    <t>E0407</t>
  </si>
  <si>
    <t>2023-04-24</t>
  </si>
  <si>
    <t>rohit.smith407@example.com</t>
  </si>
  <si>
    <t>E0408</t>
  </si>
  <si>
    <t>2022-10-24</t>
  </si>
  <si>
    <t>anita.singh408@example.com</t>
  </si>
  <si>
    <t>E0409</t>
  </si>
  <si>
    <t>2024-03-04</t>
  </si>
  <si>
    <t>rahul.brown409@example.com</t>
  </si>
  <si>
    <t>E0410</t>
  </si>
  <si>
    <t>2019-01-01</t>
  </si>
  <si>
    <t>anita.paul410@example.com</t>
  </si>
  <si>
    <t>E0411</t>
  </si>
  <si>
    <t>2024-08-12</t>
  </si>
  <si>
    <t>david.khan411@example.com</t>
  </si>
  <si>
    <t>E0412</t>
  </si>
  <si>
    <t>2022-12-10</t>
  </si>
  <si>
    <t>amit.ghosh412@example.com</t>
  </si>
  <si>
    <t>E0413</t>
  </si>
  <si>
    <t>2018-09-18</t>
  </si>
  <si>
    <t>john.dutta413@example.com</t>
  </si>
  <si>
    <t>E0414</t>
  </si>
  <si>
    <t>2024-01-31</t>
  </si>
  <si>
    <t>john.ghosh414@example.com</t>
  </si>
  <si>
    <t>E0415</t>
  </si>
  <si>
    <t>2021-05-19</t>
  </si>
  <si>
    <t>sara.dutta415@example.com</t>
  </si>
  <si>
    <t>E0416</t>
  </si>
  <si>
    <t>2024-05-14</t>
  </si>
  <si>
    <t>sara.brown416@example.com</t>
  </si>
  <si>
    <t>E0417</t>
  </si>
  <si>
    <t>2021-07-14</t>
  </si>
  <si>
    <t>rohit.sen417@example.com</t>
  </si>
  <si>
    <t>E0418</t>
  </si>
  <si>
    <t>2018-02-27</t>
  </si>
  <si>
    <t>jane.sen418@example.com</t>
  </si>
  <si>
    <t>E0419</t>
  </si>
  <si>
    <t>2020-12-06</t>
  </si>
  <si>
    <t>priya.khan419@example.com</t>
  </si>
  <si>
    <t>E0420</t>
  </si>
  <si>
    <t>2024-09-27</t>
  </si>
  <si>
    <t>amit.das420@example.com</t>
  </si>
  <si>
    <t>E0421</t>
  </si>
  <si>
    <t>2020-05-30</t>
  </si>
  <si>
    <t>anita.singh421@example.com</t>
  </si>
  <si>
    <t>E0422</t>
  </si>
  <si>
    <t>2018-12-12</t>
  </si>
  <si>
    <t>rohit.paul422@example.com</t>
  </si>
  <si>
    <t>E0423</t>
  </si>
  <si>
    <t>2024-07-07</t>
  </si>
  <si>
    <t>david.singh423@example.com</t>
  </si>
  <si>
    <t>E0424</t>
  </si>
  <si>
    <t>2019-06-29</t>
  </si>
  <si>
    <t>amit.singh424@example.com</t>
  </si>
  <si>
    <t>E0425</t>
  </si>
  <si>
    <t>2019-07-26</t>
  </si>
  <si>
    <t>john.singh425@example.com</t>
  </si>
  <si>
    <t>E0426</t>
  </si>
  <si>
    <t>2022-04-17</t>
  </si>
  <si>
    <t>anita.paul426@example.com</t>
  </si>
  <si>
    <t>E0427</t>
  </si>
  <si>
    <t>2021-03-18</t>
  </si>
  <si>
    <t>priya.dutta427@example.com</t>
  </si>
  <si>
    <t>E0428</t>
  </si>
  <si>
    <t>rohit.singh428@example.com</t>
  </si>
  <si>
    <t>E0429</t>
  </si>
  <si>
    <t>anita.sen429@example.com</t>
  </si>
  <si>
    <t>E0430</t>
  </si>
  <si>
    <t>2021-09-13</t>
  </si>
  <si>
    <t>amit.paul430@example.com</t>
  </si>
  <si>
    <t>E0431</t>
  </si>
  <si>
    <t>2024-02-26</t>
  </si>
  <si>
    <t>rahul.das431@example.com</t>
  </si>
  <si>
    <t>E0432</t>
  </si>
  <si>
    <t>2024-02-05</t>
  </si>
  <si>
    <t>priya.ghosh432@example.com</t>
  </si>
  <si>
    <t>E0433</t>
  </si>
  <si>
    <t>2023-02-19</t>
  </si>
  <si>
    <t>david.ghosh433@example.com</t>
  </si>
  <si>
    <t>E0434</t>
  </si>
  <si>
    <t>2024-04-01</t>
  </si>
  <si>
    <t>jane.das434@example.com</t>
  </si>
  <si>
    <t>E0435</t>
  </si>
  <si>
    <t>rahul.ghosh435@example.com</t>
  </si>
  <si>
    <t>E0436</t>
  </si>
  <si>
    <t>neha.paul436@example.com</t>
  </si>
  <si>
    <t>E0437</t>
  </si>
  <si>
    <t>2019-01-21</t>
  </si>
  <si>
    <t>amit.smith437@example.com</t>
  </si>
  <si>
    <t>E0438</t>
  </si>
  <si>
    <t>2021-12-25</t>
  </si>
  <si>
    <t>priya.das438@example.com</t>
  </si>
  <si>
    <t>E0439</t>
  </si>
  <si>
    <t>2019-01-16</t>
  </si>
  <si>
    <t>david.sen439@example.com</t>
  </si>
  <si>
    <t>E0440</t>
  </si>
  <si>
    <t>priya.sen440@example.com</t>
  </si>
  <si>
    <t>E0441</t>
  </si>
  <si>
    <t>2020-07-11</t>
  </si>
  <si>
    <t>john.brown441@example.com</t>
  </si>
  <si>
    <t>E0442</t>
  </si>
  <si>
    <t>2022-05-26</t>
  </si>
  <si>
    <t>jane.singh442@example.com</t>
  </si>
  <si>
    <t>E0443</t>
  </si>
  <si>
    <t>2024-01-04</t>
  </si>
  <si>
    <t>anita.brown443@example.com</t>
  </si>
  <si>
    <t>E0444</t>
  </si>
  <si>
    <t>2022-08-21</t>
  </si>
  <si>
    <t>jane.dutta444@example.com</t>
  </si>
  <si>
    <t>E0445</t>
  </si>
  <si>
    <t>2018-01-09</t>
  </si>
  <si>
    <t>amit.roy445@example.com</t>
  </si>
  <si>
    <t>E0446</t>
  </si>
  <si>
    <t>2021-07-07</t>
  </si>
  <si>
    <t>sara.khan446@example.com</t>
  </si>
  <si>
    <t>E0447</t>
  </si>
  <si>
    <t>2021-08-12</t>
  </si>
  <si>
    <t>neha.smith447@example.com</t>
  </si>
  <si>
    <t>E0448</t>
  </si>
  <si>
    <t>2024-05-25</t>
  </si>
  <si>
    <t>priya.das448@example.com</t>
  </si>
  <si>
    <t>E0449</t>
  </si>
  <si>
    <t>2019-08-17</t>
  </si>
  <si>
    <t>amit.ghosh449@example.com</t>
  </si>
  <si>
    <t>E0450</t>
  </si>
  <si>
    <t>2020-08-21</t>
  </si>
  <si>
    <t>rahul.khan450@example.com</t>
  </si>
  <si>
    <t>E0451</t>
  </si>
  <si>
    <t>2020-01-26</t>
  </si>
  <si>
    <t>anita.brown451@example.com</t>
  </si>
  <si>
    <t>E0452</t>
  </si>
  <si>
    <t>2024-04-20</t>
  </si>
  <si>
    <t>rahul.roy452@example.com</t>
  </si>
  <si>
    <t>E0453</t>
  </si>
  <si>
    <t>2022-11-15</t>
  </si>
  <si>
    <t>david.das453@example.com</t>
  </si>
  <si>
    <t>E0454</t>
  </si>
  <si>
    <t>2022-11-12</t>
  </si>
  <si>
    <t>rohit.paul454@example.com</t>
  </si>
  <si>
    <t>E0455</t>
  </si>
  <si>
    <t>2023-08-11</t>
  </si>
  <si>
    <t>neha.dutta455@example.com</t>
  </si>
  <si>
    <t>E0456</t>
  </si>
  <si>
    <t>2024-03-13</t>
  </si>
  <si>
    <t>neha.khan456@example.com</t>
  </si>
  <si>
    <t>E0457</t>
  </si>
  <si>
    <t>2022-02-11</t>
  </si>
  <si>
    <t>jane.brown457@example.com</t>
  </si>
  <si>
    <t>E0458</t>
  </si>
  <si>
    <t>2019-04-04</t>
  </si>
  <si>
    <t>david.khan458@example.com</t>
  </si>
  <si>
    <t>E0459</t>
  </si>
  <si>
    <t>2019-03-28</t>
  </si>
  <si>
    <t>sara.dutta459@example.com</t>
  </si>
  <si>
    <t>E0460</t>
  </si>
  <si>
    <t>rohit.ghosh460@example.com</t>
  </si>
  <si>
    <t>E0461</t>
  </si>
  <si>
    <t>2024-02-28</t>
  </si>
  <si>
    <t>priya.paul461@example.com</t>
  </si>
  <si>
    <t>E0462</t>
  </si>
  <si>
    <t>2023-05-27</t>
  </si>
  <si>
    <t>neha.paul462@example.com</t>
  </si>
  <si>
    <t>E0463</t>
  </si>
  <si>
    <t>2024-07-01</t>
  </si>
  <si>
    <t>david.smith463@example.com</t>
  </si>
  <si>
    <t>E0464</t>
  </si>
  <si>
    <t>2022-04-02</t>
  </si>
  <si>
    <t>jane.brown464@example.com</t>
  </si>
  <si>
    <t>E0465</t>
  </si>
  <si>
    <t>2020-05-10</t>
  </si>
  <si>
    <t>amit.sen465@example.com</t>
  </si>
  <si>
    <t>E0466</t>
  </si>
  <si>
    <t>2023-03-29</t>
  </si>
  <si>
    <t>rohit.smith466@example.com</t>
  </si>
  <si>
    <t>E0467</t>
  </si>
  <si>
    <t>2023-07-28</t>
  </si>
  <si>
    <t>rohit.paul467@example.com</t>
  </si>
  <si>
    <t>E0468</t>
  </si>
  <si>
    <t>2023-01-27</t>
  </si>
  <si>
    <t>rohit.sen468@example.com</t>
  </si>
  <si>
    <t>E0469</t>
  </si>
  <si>
    <t>2024-10-25</t>
  </si>
  <si>
    <t>rahul.dutta469@example.com</t>
  </si>
  <si>
    <t>E0470</t>
  </si>
  <si>
    <t>2018-11-15</t>
  </si>
  <si>
    <t>priya.singh470@example.com</t>
  </si>
  <si>
    <t>E0471</t>
  </si>
  <si>
    <t>john.khan471@example.com</t>
  </si>
  <si>
    <t>E0472</t>
  </si>
  <si>
    <t>2018-06-01</t>
  </si>
  <si>
    <t>anita.roy472@example.com</t>
  </si>
  <si>
    <t>E0473</t>
  </si>
  <si>
    <t>rahul.ghosh473@example.com</t>
  </si>
  <si>
    <t>E0474</t>
  </si>
  <si>
    <t>2020-02-03</t>
  </si>
  <si>
    <t>rohit.brown474@example.com</t>
  </si>
  <si>
    <t>E0475</t>
  </si>
  <si>
    <t>anita.paul475@example.com</t>
  </si>
  <si>
    <t>E0476</t>
  </si>
  <si>
    <t>2018-04-28</t>
  </si>
  <si>
    <t>amit.paul476@example.com</t>
  </si>
  <si>
    <t>E0477</t>
  </si>
  <si>
    <t>2019-10-19</t>
  </si>
  <si>
    <t>neha.smith477@example.com</t>
  </si>
  <si>
    <t>E0478</t>
  </si>
  <si>
    <t>jane.das478@example.com</t>
  </si>
  <si>
    <t>E0479</t>
  </si>
  <si>
    <t>2024-01-05</t>
  </si>
  <si>
    <t>sara.roy479@example.com</t>
  </si>
  <si>
    <t>E0480</t>
  </si>
  <si>
    <t>2023-02-06</t>
  </si>
  <si>
    <t>rahul.brown480@example.com</t>
  </si>
  <si>
    <t>E0481</t>
  </si>
  <si>
    <t>2022-09-13</t>
  </si>
  <si>
    <t>rahul.singh481@example.com</t>
  </si>
  <si>
    <t>E0482</t>
  </si>
  <si>
    <t>2021-11-03</t>
  </si>
  <si>
    <t>amit.sen482@example.com</t>
  </si>
  <si>
    <t>E0483</t>
  </si>
  <si>
    <t>2020-12-31</t>
  </si>
  <si>
    <t>david.ghosh483@example.com</t>
  </si>
  <si>
    <t>E0484</t>
  </si>
  <si>
    <t>2024-10-29</t>
  </si>
  <si>
    <t>neha.ghosh484@example.com</t>
  </si>
  <si>
    <t>E0485</t>
  </si>
  <si>
    <t>2021-07-29</t>
  </si>
  <si>
    <t>john.ghosh485@example.com</t>
  </si>
  <si>
    <t>E0486</t>
  </si>
  <si>
    <t>2022-06-28</t>
  </si>
  <si>
    <t>priya.singh486@example.com</t>
  </si>
  <si>
    <t>E0487</t>
  </si>
  <si>
    <t>2018-10-05</t>
  </si>
  <si>
    <t>david.dutta487@example.com</t>
  </si>
  <si>
    <t>E0488</t>
  </si>
  <si>
    <t>2020-07-19</t>
  </si>
  <si>
    <t>anita.singh488@example.com</t>
  </si>
  <si>
    <t>E0489</t>
  </si>
  <si>
    <t>priya.smith489@example.com</t>
  </si>
  <si>
    <t>E0490</t>
  </si>
  <si>
    <t>2019-03-21</t>
  </si>
  <si>
    <t>anita.das490@example.com</t>
  </si>
  <si>
    <t>E0491</t>
  </si>
  <si>
    <t>neha.dutta491@example.com</t>
  </si>
  <si>
    <t>E0492</t>
  </si>
  <si>
    <t>2019-03-20</t>
  </si>
  <si>
    <t>david.ghosh492@example.com</t>
  </si>
  <si>
    <t>E0493</t>
  </si>
  <si>
    <t>rahul.ghosh493@example.com</t>
  </si>
  <si>
    <t>E0494</t>
  </si>
  <si>
    <t>2020-06-09</t>
  </si>
  <si>
    <t>jane.das494@example.com</t>
  </si>
  <si>
    <t>E0495</t>
  </si>
  <si>
    <t>2018-04-21</t>
  </si>
  <si>
    <t>john.sen495@example.com</t>
  </si>
  <si>
    <t>E0496</t>
  </si>
  <si>
    <t>2018-02-25</t>
  </si>
  <si>
    <t>rahul.ghosh496@example.com</t>
  </si>
  <si>
    <t>E0497</t>
  </si>
  <si>
    <t>2024-06-14</t>
  </si>
  <si>
    <t>john.brown497@example.com</t>
  </si>
  <si>
    <t>E0498</t>
  </si>
  <si>
    <t>2024-10-15</t>
  </si>
  <si>
    <t>priya.singh498@example.com</t>
  </si>
  <si>
    <t>E0499</t>
  </si>
  <si>
    <t>2020-11-16</t>
  </si>
  <si>
    <t>david.sen499@example.com</t>
  </si>
  <si>
    <t>E0500</t>
  </si>
  <si>
    <t>2021-01-15</t>
  </si>
  <si>
    <t>david.singh500@example.com</t>
  </si>
  <si>
    <t>DepartmentName</t>
  </si>
  <si>
    <t>AVERAGE SALARY (Q4)</t>
  </si>
  <si>
    <t>HR</t>
  </si>
  <si>
    <t>Alice</t>
  </si>
  <si>
    <t>Finance</t>
  </si>
  <si>
    <t>Bob</t>
  </si>
  <si>
    <t>IT</t>
  </si>
  <si>
    <t>Carol</t>
  </si>
  <si>
    <t>Sales</t>
  </si>
  <si>
    <t>Dan</t>
  </si>
  <si>
    <t>Marketing</t>
  </si>
  <si>
    <t>Eva</t>
  </si>
  <si>
    <t>ReviewYear</t>
  </si>
  <si>
    <t>Rating</t>
  </si>
  <si>
    <t>TrainingHours</t>
  </si>
  <si>
    <t>ProjectsCompleted</t>
  </si>
  <si>
    <t>Metric</t>
  </si>
  <si>
    <t>Value</t>
  </si>
  <si>
    <t>Q5: Count of Active Employees</t>
  </si>
  <si>
    <t>Q8: Analysts based in Kolkata (count)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</si>
</sst>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6C6"/>
        <bgColor indexed="64"/>
      </patternFill>
    </fill>
    <fill>
      <patternFill patternType="solid">
        <fgColor rgb="FFFFC6C6"/>
        <bgColor rgb="FF666699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66669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3" fillId="0" borderId="0" xfId="0" applyFont="1"/>
    <xf numFmtId="4" fontId="3" fillId="0" borderId="0" xfId="0" applyNumberFormat="1" applyFont="1"/>
    <xf numFmtId="0" fontId="1" fillId="0" borderId="2" xfId="0" applyFont="1" applyBorder="1"/>
    <xf numFmtId="0" fontId="3" fillId="0" borderId="1" xfId="0" applyFont="1" applyBorder="1"/>
    <xf numFmtId="4" fontId="3" fillId="0" borderId="1" xfId="0" applyNumberFormat="1" applyFont="1" applyBorder="1"/>
    <xf numFmtId="0" fontId="1" fillId="2" borderId="1" xfId="0" applyFont="1" applyFill="1" applyBorder="1"/>
    <xf numFmtId="0" fontId="5" fillId="3" borderId="1" xfId="0" applyFont="1" applyFill="1" applyBorder="1"/>
    <xf numFmtId="0" fontId="1" fillId="4" borderId="1" xfId="0" applyFont="1" applyFill="1" applyBorder="1"/>
    <xf numFmtId="0" fontId="6" fillId="5" borderId="1" xfId="0" applyFont="1" applyFill="1" applyBorder="1"/>
    <xf numFmtId="0" fontId="2" fillId="5" borderId="1" xfId="0" applyFont="1" applyFill="1" applyBorder="1"/>
    <xf numFmtId="0" fontId="7" fillId="0" borderId="1" xfId="0" applyFont="1" applyBorder="1"/>
  </cellXfs>
  <cellStyles count="1">
    <cellStyle name="Normal" xfId="0" builtinId="0"/>
  </cellStyles>
  <dxfs count="4">
    <dxf>
      <fill>
        <patternFill>
          <bgColor theme="5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b/>
        <color rgb="FF000000"/>
      </font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501"/>
  <sheetViews>
    <sheetView zoomScaleNormal="100" workbookViewId="0">
      <selection activeCell="S1" sqref="S1"/>
    </sheetView>
  </sheetViews>
  <sheetFormatPr defaultColWidth="8.7109375" defaultRowHeight="15" x14ac:dyDescent="0.25"/>
  <cols>
    <col min="1" max="1" width="10.7109375" customWidth="1"/>
    <col min="2" max="2" width="9.28515625" customWidth="1"/>
    <col min="3" max="3" width="9.140625" customWidth="1"/>
    <col min="4" max="4" width="7" customWidth="1"/>
    <col min="5" max="5" width="3.85546875" customWidth="1"/>
    <col min="6" max="6" width="13" customWidth="1"/>
    <col min="7" max="7" width="10.85546875" customWidth="1"/>
    <col min="8" max="8" width="10.140625" customWidth="1"/>
    <col min="9" max="9" width="6.7109375" customWidth="1"/>
    <col min="10" max="10" width="9.140625" customWidth="1"/>
    <col min="11" max="11" width="27.7109375" customWidth="1"/>
    <col min="12" max="12" width="7.28515625" customWidth="1"/>
    <col min="13" max="13" width="19.140625" customWidth="1"/>
    <col min="14" max="14" width="43.42578125" customWidth="1"/>
    <col min="15" max="15" width="30" customWidth="1"/>
    <col min="16" max="16" width="12" customWidth="1"/>
    <col min="17" max="17" width="14" customWidth="1"/>
    <col min="20" max="20" width="37.42578125" customWidth="1"/>
  </cols>
  <sheetData>
    <row r="1" spans="1:20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1" t="s">
        <v>14</v>
      </c>
      <c r="P1" s="11" t="s">
        <v>15</v>
      </c>
      <c r="Q1" s="11" t="s">
        <v>16</v>
      </c>
    </row>
    <row r="2" spans="1:20" x14ac:dyDescent="0.25">
      <c r="A2" s="2" t="s">
        <v>17</v>
      </c>
      <c r="B2" s="2" t="s">
        <v>18</v>
      </c>
      <c r="C2" s="2" t="s">
        <v>19</v>
      </c>
      <c r="D2" s="2" t="s">
        <v>20</v>
      </c>
      <c r="E2" s="2">
        <v>30</v>
      </c>
      <c r="F2" s="2" t="s">
        <v>21</v>
      </c>
      <c r="G2" s="2" t="s">
        <v>22</v>
      </c>
      <c r="H2" s="2" t="s">
        <v>23</v>
      </c>
      <c r="I2" s="2">
        <v>105257</v>
      </c>
      <c r="J2" s="2" t="s">
        <v>24</v>
      </c>
      <c r="K2" s="2" t="s">
        <v>25</v>
      </c>
      <c r="L2" s="2" t="s">
        <v>26</v>
      </c>
      <c r="M2" s="2" t="str">
        <f>VLOOKUP(F2,Departments!$A$1:$C$6,2,0)</f>
        <v>HR</v>
      </c>
      <c r="N2" s="2" t="str">
        <f>INDEX(Departments!$B$1:$B$6,MATCH(Employees!F2,Departments!$A$1:$A$6,0))</f>
        <v>HR</v>
      </c>
      <c r="O2" s="6" t="str">
        <f>INDEX(Departments!$B$2:$B$6,MATCH(Employees!F2,Departments!$A$2:$A$6,0))</f>
        <v>HR</v>
      </c>
      <c r="P2" s="6">
        <f>_xlfn.XLOOKUP(A2,Performance!$A$2:$A$501,Performance!$C$2:$C$501)</f>
        <v>1</v>
      </c>
      <c r="Q2" s="7">
        <f t="shared" ref="Q2:Q65" si="0">IF(P2=5,I2*0.15,IF(P2=4,I2*0.1,IF(P2=3,I2*0.07,IF(P2&lt;3,I2*0.05,0))))</f>
        <v>5262.85</v>
      </c>
    </row>
    <row r="3" spans="1:20" hidden="1" x14ac:dyDescent="0.25">
      <c r="A3" s="2" t="s">
        <v>27</v>
      </c>
      <c r="B3" s="2" t="s">
        <v>18</v>
      </c>
      <c r="C3" s="2" t="s">
        <v>28</v>
      </c>
      <c r="D3" s="2" t="s">
        <v>29</v>
      </c>
      <c r="E3" s="2">
        <v>48</v>
      </c>
      <c r="F3" s="2" t="s">
        <v>30</v>
      </c>
      <c r="G3" s="2" t="s">
        <v>31</v>
      </c>
      <c r="H3" s="2" t="s">
        <v>32</v>
      </c>
      <c r="I3" s="2">
        <v>97903</v>
      </c>
      <c r="J3" s="2" t="s">
        <v>24</v>
      </c>
      <c r="K3" s="2" t="s">
        <v>33</v>
      </c>
      <c r="L3" s="2" t="s">
        <v>26</v>
      </c>
      <c r="M3" s="2" t="str">
        <f>VLOOKUP(F3,Departments!$A$1:$C$6,2,0)</f>
        <v>IT</v>
      </c>
      <c r="N3" s="2" t="str">
        <f>INDEX(Departments!$B$1:$B$6, MATCH(Employees!F3, Departments!$A$1:$A$6, 0))</f>
        <v>IT</v>
      </c>
      <c r="O3" s="3" t="str">
        <f>INDEX(Departments!$B$2:$B$6,MATCH(Employees!F3,Departments!$A$2:$A$6,0))</f>
        <v>IT</v>
      </c>
      <c r="P3" s="3">
        <f>INDEX(Performance!$C$2:$C$501,MATCH(Employees!A3,Performance!$A$2:$A$501,0))</f>
        <v>4</v>
      </c>
      <c r="Q3" s="4">
        <f t="shared" si="0"/>
        <v>9790.3000000000011</v>
      </c>
      <c r="T3" t="s">
        <v>34</v>
      </c>
    </row>
    <row r="4" spans="1:20" hidden="1" x14ac:dyDescent="0.25">
      <c r="A4" s="2" t="s">
        <v>35</v>
      </c>
      <c r="B4" s="2" t="s">
        <v>36</v>
      </c>
      <c r="C4" s="2" t="s">
        <v>28</v>
      </c>
      <c r="D4" s="2" t="s">
        <v>29</v>
      </c>
      <c r="E4" s="2">
        <v>48</v>
      </c>
      <c r="F4" s="2" t="s">
        <v>37</v>
      </c>
      <c r="G4" s="2" t="s">
        <v>38</v>
      </c>
      <c r="H4" s="2" t="s">
        <v>39</v>
      </c>
      <c r="I4" s="2">
        <v>73429</v>
      </c>
      <c r="J4" s="2" t="s">
        <v>40</v>
      </c>
      <c r="K4" s="2" t="s">
        <v>41</v>
      </c>
      <c r="L4" s="2" t="s">
        <v>42</v>
      </c>
      <c r="M4" s="2" t="str">
        <f>VLOOKUP(F4,Departments!$A$1:$C$6,2,0)</f>
        <v>Sales</v>
      </c>
      <c r="N4" s="2" t="str">
        <f>INDEX(Departments!$B$1:$B$6, MATCH(Employees!F4, Departments!$A$1:$A$6, 0))</f>
        <v>Sales</v>
      </c>
      <c r="O4" s="3" t="str">
        <f>INDEX(Departments!$B$2:$B$6,MATCH(Employees!F4,Departments!$A$2:$A$6,0))</f>
        <v>Sales</v>
      </c>
      <c r="P4" s="3">
        <f>INDEX(Performance!$C$2:$C$501,MATCH(Employees!A4,Performance!$A$2:$A$501,0))</f>
        <v>2</v>
      </c>
      <c r="Q4" s="4">
        <f t="shared" si="0"/>
        <v>3671.4500000000003</v>
      </c>
    </row>
    <row r="5" spans="1:20" hidden="1" x14ac:dyDescent="0.25">
      <c r="A5" s="2" t="s">
        <v>43</v>
      </c>
      <c r="B5" s="2" t="s">
        <v>44</v>
      </c>
      <c r="C5" s="2" t="s">
        <v>19</v>
      </c>
      <c r="D5" s="2" t="s">
        <v>20</v>
      </c>
      <c r="E5" s="2">
        <v>50</v>
      </c>
      <c r="F5" s="2" t="s">
        <v>45</v>
      </c>
      <c r="G5" s="2" t="s">
        <v>46</v>
      </c>
      <c r="H5" s="2" t="s">
        <v>47</v>
      </c>
      <c r="I5" s="2">
        <v>99336</v>
      </c>
      <c r="J5" s="2" t="s">
        <v>40</v>
      </c>
      <c r="K5" s="2" t="s">
        <v>48</v>
      </c>
      <c r="L5" s="2" t="s">
        <v>26</v>
      </c>
      <c r="M5" s="2" t="str">
        <f>VLOOKUP(F5,Departments!$A$1:$C$6,2,0)</f>
        <v>Marketing</v>
      </c>
      <c r="N5" s="2" t="str">
        <f>INDEX(Departments!$B$1:$B$6, MATCH(Employees!F5, Departments!$A$1:$A$6, 0))</f>
        <v>Marketing</v>
      </c>
      <c r="O5" s="3" t="str">
        <f>INDEX(Departments!$B$2:$B$6,MATCH(Employees!F5,Departments!$A$2:$A$6,0))</f>
        <v>Marketing</v>
      </c>
      <c r="P5" s="3">
        <f>INDEX(Performance!$C$2:$C$501,MATCH(Employees!A5,Performance!$A$2:$A$501,0))</f>
        <v>4</v>
      </c>
      <c r="Q5" s="4">
        <f t="shared" si="0"/>
        <v>9933.6</v>
      </c>
    </row>
    <row r="6" spans="1:20" hidden="1" x14ac:dyDescent="0.25">
      <c r="A6" s="2" t="s">
        <v>49</v>
      </c>
      <c r="B6" s="2" t="s">
        <v>50</v>
      </c>
      <c r="C6" s="2" t="s">
        <v>51</v>
      </c>
      <c r="D6" s="2" t="s">
        <v>29</v>
      </c>
      <c r="E6" s="2">
        <v>60</v>
      </c>
      <c r="F6" s="2" t="s">
        <v>21</v>
      </c>
      <c r="G6" s="2" t="s">
        <v>38</v>
      </c>
      <c r="H6" s="2" t="s">
        <v>52</v>
      </c>
      <c r="I6" s="2">
        <v>105020</v>
      </c>
      <c r="J6" s="2" t="s">
        <v>40</v>
      </c>
      <c r="K6" s="2" t="s">
        <v>53</v>
      </c>
      <c r="L6" s="2" t="s">
        <v>26</v>
      </c>
      <c r="M6" s="2" t="str">
        <f>VLOOKUP(F6,Departments!$A$1:$C$6,2,0)</f>
        <v>HR</v>
      </c>
      <c r="N6" s="2" t="str">
        <f>INDEX(Departments!$B$1:$B$6, MATCH(Employees!F6, Departments!$A$1:$A$6, 0))</f>
        <v>HR</v>
      </c>
      <c r="O6" s="3" t="str">
        <f>INDEX(Departments!$B$2:$B$6,MATCH(Employees!F6,Departments!$A$2:$A$6,0))</f>
        <v>HR</v>
      </c>
      <c r="P6" s="3">
        <f>INDEX(Performance!$C$2:$C$501,MATCH(Employees!A6,Performance!$A$2:$A$501,0))</f>
        <v>2</v>
      </c>
      <c r="Q6" s="4">
        <f t="shared" si="0"/>
        <v>5251</v>
      </c>
    </row>
    <row r="7" spans="1:20" hidden="1" x14ac:dyDescent="0.25">
      <c r="A7" s="2" t="s">
        <v>54</v>
      </c>
      <c r="B7" s="2" t="s">
        <v>55</v>
      </c>
      <c r="C7" s="2" t="s">
        <v>19</v>
      </c>
      <c r="D7" s="2" t="s">
        <v>29</v>
      </c>
      <c r="E7" s="2">
        <v>33</v>
      </c>
      <c r="F7" s="2" t="s">
        <v>56</v>
      </c>
      <c r="G7" s="2" t="s">
        <v>38</v>
      </c>
      <c r="H7" s="2" t="s">
        <v>57</v>
      </c>
      <c r="I7" s="2">
        <v>93173</v>
      </c>
      <c r="J7" s="2" t="s">
        <v>40</v>
      </c>
      <c r="K7" s="2" t="s">
        <v>58</v>
      </c>
      <c r="L7" s="2" t="s">
        <v>26</v>
      </c>
      <c r="M7" s="2" t="str">
        <f>VLOOKUP(F7,Departments!$A$1:$C$6,2,0)</f>
        <v>Finance</v>
      </c>
      <c r="N7" s="2" t="str">
        <f>INDEX(Departments!$B$1:$B$6, MATCH(Employees!F7, Departments!$A$1:$A$6, 0))</f>
        <v>Finance</v>
      </c>
      <c r="O7" s="3" t="str">
        <f>INDEX(Departments!$B$2:$B$6,MATCH(Employees!F7,Departments!$A$2:$A$6,0))</f>
        <v>Finance</v>
      </c>
      <c r="P7" s="3">
        <f>INDEX(Performance!$C$2:$C$501,MATCH(Employees!A7,Performance!$A$2:$A$501,0))</f>
        <v>3</v>
      </c>
      <c r="Q7" s="4">
        <f t="shared" si="0"/>
        <v>6522.1100000000006</v>
      </c>
    </row>
    <row r="8" spans="1:20" hidden="1" x14ac:dyDescent="0.25">
      <c r="A8" s="2" t="s">
        <v>59</v>
      </c>
      <c r="B8" s="2" t="s">
        <v>60</v>
      </c>
      <c r="C8" s="2" t="s">
        <v>51</v>
      </c>
      <c r="D8" s="2" t="s">
        <v>29</v>
      </c>
      <c r="E8" s="2">
        <v>52</v>
      </c>
      <c r="F8" s="2" t="s">
        <v>45</v>
      </c>
      <c r="G8" s="2" t="s">
        <v>22</v>
      </c>
      <c r="H8" s="2" t="s">
        <v>61</v>
      </c>
      <c r="I8" s="2">
        <v>106626</v>
      </c>
      <c r="J8" s="2" t="s">
        <v>40</v>
      </c>
      <c r="K8" s="2" t="s">
        <v>62</v>
      </c>
      <c r="L8" s="2" t="s">
        <v>26</v>
      </c>
      <c r="M8" s="2" t="str">
        <f>VLOOKUP(F8,Departments!$A$1:$C$6,2,0)</f>
        <v>Marketing</v>
      </c>
      <c r="N8" s="2" t="str">
        <f>INDEX(Departments!$B$1:$B$6, MATCH(Employees!F8, Departments!$A$1:$A$6, 0))</f>
        <v>Marketing</v>
      </c>
      <c r="O8" s="3" t="str">
        <f>INDEX(Departments!$B$2:$B$6,MATCH(Employees!F8,Departments!$A$2:$A$6,0))</f>
        <v>Marketing</v>
      </c>
      <c r="P8" s="3">
        <f>INDEX(Performance!$C$2:$C$501,MATCH(Employees!A8,Performance!$A$2:$A$501,0))</f>
        <v>2</v>
      </c>
      <c r="Q8" s="4">
        <f t="shared" si="0"/>
        <v>5331.3</v>
      </c>
    </row>
    <row r="9" spans="1:20" hidden="1" x14ac:dyDescent="0.25">
      <c r="A9" s="2" t="s">
        <v>63</v>
      </c>
      <c r="B9" s="2" t="s">
        <v>64</v>
      </c>
      <c r="C9" s="2" t="s">
        <v>19</v>
      </c>
      <c r="D9" s="2" t="s">
        <v>20</v>
      </c>
      <c r="E9" s="2">
        <v>42</v>
      </c>
      <c r="F9" s="2" t="s">
        <v>56</v>
      </c>
      <c r="G9" s="2" t="s">
        <v>46</v>
      </c>
      <c r="H9" s="2" t="s">
        <v>65</v>
      </c>
      <c r="I9" s="2">
        <v>114547</v>
      </c>
      <c r="J9" s="2" t="s">
        <v>66</v>
      </c>
      <c r="K9" s="2" t="s">
        <v>67</v>
      </c>
      <c r="L9" s="2" t="s">
        <v>42</v>
      </c>
      <c r="M9" s="2" t="str">
        <f>VLOOKUP(F9,Departments!$A$1:$C$6,2,0)</f>
        <v>Finance</v>
      </c>
      <c r="N9" s="2" t="str">
        <f>INDEX(Departments!$B$1:$B$6, MATCH(Employees!F9, Departments!$A$1:$A$6, 0))</f>
        <v>Finance</v>
      </c>
      <c r="O9" s="3" t="str">
        <f>INDEX(Departments!$B$2:$B$6,MATCH(Employees!F9,Departments!$A$2:$A$6,0))</f>
        <v>Finance</v>
      </c>
      <c r="P9" s="3">
        <f>INDEX(Performance!$C$2:$C$501,MATCH(Employees!A9,Performance!$A$2:$A$501,0))</f>
        <v>1</v>
      </c>
      <c r="Q9" s="4">
        <f t="shared" si="0"/>
        <v>5727.35</v>
      </c>
    </row>
    <row r="10" spans="1:20" hidden="1" x14ac:dyDescent="0.25">
      <c r="A10" s="2" t="s">
        <v>68</v>
      </c>
      <c r="B10" s="2" t="s">
        <v>64</v>
      </c>
      <c r="C10" s="2" t="s">
        <v>69</v>
      </c>
      <c r="D10" s="2" t="s">
        <v>20</v>
      </c>
      <c r="E10" s="2">
        <v>40</v>
      </c>
      <c r="F10" s="2" t="s">
        <v>21</v>
      </c>
      <c r="G10" s="2" t="s">
        <v>38</v>
      </c>
      <c r="H10" s="2" t="s">
        <v>70</v>
      </c>
      <c r="I10" s="2">
        <v>51139</v>
      </c>
      <c r="J10" s="2" t="s">
        <v>71</v>
      </c>
      <c r="K10" s="2" t="s">
        <v>72</v>
      </c>
      <c r="L10" s="2" t="s">
        <v>42</v>
      </c>
      <c r="M10" s="2" t="str">
        <f>VLOOKUP(F10,Departments!$A$1:$C$6,2,0)</f>
        <v>HR</v>
      </c>
      <c r="N10" s="2" t="str">
        <f>INDEX(Departments!$B$1:$B$6, MATCH(Employees!F10, Departments!$A$1:$A$6, 0))</f>
        <v>HR</v>
      </c>
      <c r="O10" s="3" t="str">
        <f>INDEX(Departments!$B$2:$B$6,MATCH(Employees!F10,Departments!$A$2:$A$6,0))</f>
        <v>HR</v>
      </c>
      <c r="P10" s="3">
        <f>INDEX(Performance!$C$2:$C$501,MATCH(Employees!A10,Performance!$A$2:$A$501,0))</f>
        <v>4</v>
      </c>
      <c r="Q10" s="4">
        <f t="shared" si="0"/>
        <v>5113.9000000000005</v>
      </c>
    </row>
    <row r="11" spans="1:20" hidden="1" x14ac:dyDescent="0.25">
      <c r="A11" s="2" t="s">
        <v>73</v>
      </c>
      <c r="B11" s="2" t="s">
        <v>18</v>
      </c>
      <c r="C11" s="2" t="s">
        <v>28</v>
      </c>
      <c r="D11" s="2" t="s">
        <v>20</v>
      </c>
      <c r="E11" s="2">
        <v>25</v>
      </c>
      <c r="F11" s="2" t="s">
        <v>45</v>
      </c>
      <c r="G11" s="2" t="s">
        <v>22</v>
      </c>
      <c r="H11" s="2" t="s">
        <v>74</v>
      </c>
      <c r="I11" s="2">
        <v>60673</v>
      </c>
      <c r="J11" s="2" t="s">
        <v>71</v>
      </c>
      <c r="K11" s="2" t="s">
        <v>75</v>
      </c>
      <c r="L11" s="2" t="s">
        <v>42</v>
      </c>
      <c r="M11" s="2" t="str">
        <f>VLOOKUP(F11,Departments!$A$1:$C$6,2,0)</f>
        <v>Marketing</v>
      </c>
      <c r="N11" s="2" t="str">
        <f>INDEX(Departments!$B$1:$B$6, MATCH(Employees!F11, Departments!$A$1:$A$6, 0))</f>
        <v>Marketing</v>
      </c>
      <c r="O11" s="3" t="str">
        <f>INDEX(Departments!$B$2:$B$6,MATCH(Employees!F11,Departments!$A$2:$A$6,0))</f>
        <v>Marketing</v>
      </c>
      <c r="P11" s="3">
        <f>INDEX(Performance!$C$2:$C$501,MATCH(Employees!A11,Performance!$A$2:$A$501,0))</f>
        <v>5</v>
      </c>
      <c r="Q11" s="4">
        <f t="shared" si="0"/>
        <v>9100.9499999999989</v>
      </c>
    </row>
    <row r="12" spans="1:20" hidden="1" x14ac:dyDescent="0.25">
      <c r="A12" s="2" t="s">
        <v>76</v>
      </c>
      <c r="B12" s="2" t="s">
        <v>77</v>
      </c>
      <c r="C12" s="2" t="s">
        <v>28</v>
      </c>
      <c r="D12" s="2" t="s">
        <v>20</v>
      </c>
      <c r="E12" s="2">
        <v>25</v>
      </c>
      <c r="F12" s="2" t="s">
        <v>45</v>
      </c>
      <c r="G12" s="2" t="s">
        <v>38</v>
      </c>
      <c r="H12" s="2" t="s">
        <v>78</v>
      </c>
      <c r="I12" s="2">
        <v>65690</v>
      </c>
      <c r="J12" s="2" t="s">
        <v>24</v>
      </c>
      <c r="K12" s="2" t="s">
        <v>79</v>
      </c>
      <c r="L12" s="2" t="s">
        <v>42</v>
      </c>
      <c r="M12" s="2" t="str">
        <f>VLOOKUP(F12,Departments!$A$1:$C$6,2,0)</f>
        <v>Marketing</v>
      </c>
      <c r="N12" s="2" t="str">
        <f>INDEX(Departments!$B$1:$B$6, MATCH(Employees!F12, Departments!$A$1:$A$6, 0))</f>
        <v>Marketing</v>
      </c>
      <c r="O12" s="3" t="str">
        <f>INDEX(Departments!$B$2:$B$6,MATCH(Employees!F12,Departments!$A$2:$A$6,0))</f>
        <v>Marketing</v>
      </c>
      <c r="P12" s="3">
        <f>INDEX(Performance!$C$2:$C$501,MATCH(Employees!A12,Performance!$A$2:$A$501,0))</f>
        <v>3</v>
      </c>
      <c r="Q12" s="4">
        <f t="shared" si="0"/>
        <v>4598.3</v>
      </c>
    </row>
    <row r="13" spans="1:20" hidden="1" x14ac:dyDescent="0.25">
      <c r="A13" s="2" t="s">
        <v>80</v>
      </c>
      <c r="B13" s="2" t="s">
        <v>36</v>
      </c>
      <c r="C13" s="2" t="s">
        <v>51</v>
      </c>
      <c r="D13" s="2" t="s">
        <v>29</v>
      </c>
      <c r="E13" s="2">
        <v>49</v>
      </c>
      <c r="F13" s="2" t="s">
        <v>30</v>
      </c>
      <c r="G13" s="2" t="s">
        <v>31</v>
      </c>
      <c r="H13" s="2" t="s">
        <v>81</v>
      </c>
      <c r="I13" s="2">
        <v>63823</v>
      </c>
      <c r="J13" s="2" t="s">
        <v>71</v>
      </c>
      <c r="K13" s="2" t="s">
        <v>82</v>
      </c>
      <c r="L13" s="2" t="s">
        <v>26</v>
      </c>
      <c r="M13" s="2" t="str">
        <f>VLOOKUP(F13,Departments!$A$1:$C$6,2,0)</f>
        <v>IT</v>
      </c>
      <c r="N13" s="2" t="str">
        <f>INDEX(Departments!$B$1:$B$6, MATCH(Employees!F13, Departments!$A$1:$A$6, 0))</f>
        <v>IT</v>
      </c>
      <c r="O13" s="3" t="str">
        <f>INDEX(Departments!$B$2:$B$6,MATCH(Employees!F13,Departments!$A$2:$A$6,0))</f>
        <v>IT</v>
      </c>
      <c r="P13" s="3">
        <f>INDEX(Performance!$C$2:$C$501,MATCH(Employees!A13,Performance!$A$2:$A$501,0))</f>
        <v>2</v>
      </c>
      <c r="Q13" s="4">
        <f t="shared" si="0"/>
        <v>3191.15</v>
      </c>
    </row>
    <row r="14" spans="1:20" hidden="1" x14ac:dyDescent="0.25">
      <c r="A14" s="2" t="s">
        <v>83</v>
      </c>
      <c r="B14" s="2" t="s">
        <v>36</v>
      </c>
      <c r="C14" s="2" t="s">
        <v>84</v>
      </c>
      <c r="D14" s="2" t="s">
        <v>20</v>
      </c>
      <c r="E14" s="2">
        <v>56</v>
      </c>
      <c r="F14" s="2" t="s">
        <v>45</v>
      </c>
      <c r="G14" s="2" t="s">
        <v>22</v>
      </c>
      <c r="H14" s="2" t="s">
        <v>85</v>
      </c>
      <c r="I14" s="2">
        <v>49557</v>
      </c>
      <c r="J14" s="2" t="s">
        <v>86</v>
      </c>
      <c r="K14" s="2" t="s">
        <v>87</v>
      </c>
      <c r="L14" s="2" t="s">
        <v>42</v>
      </c>
      <c r="M14" s="2" t="str">
        <f>VLOOKUP(F14,Departments!$A$1:$C$6,2,0)</f>
        <v>Marketing</v>
      </c>
      <c r="N14" s="2" t="str">
        <f>INDEX(Departments!$B$1:$B$6, MATCH(Employees!F14, Departments!$A$1:$A$6, 0))</f>
        <v>Marketing</v>
      </c>
      <c r="O14" s="3" t="str">
        <f>INDEX(Departments!$B$2:$B$6,MATCH(Employees!F14,Departments!$A$2:$A$6,0))</f>
        <v>Marketing</v>
      </c>
      <c r="P14" s="3">
        <f>INDEX(Performance!$C$2:$C$501,MATCH(Employees!A14,Performance!$A$2:$A$501,0))</f>
        <v>3</v>
      </c>
      <c r="Q14" s="4">
        <f t="shared" si="0"/>
        <v>3468.9900000000002</v>
      </c>
    </row>
    <row r="15" spans="1:20" hidden="1" x14ac:dyDescent="0.25">
      <c r="A15" s="2" t="s">
        <v>88</v>
      </c>
      <c r="B15" s="2" t="s">
        <v>36</v>
      </c>
      <c r="C15" s="2" t="s">
        <v>89</v>
      </c>
      <c r="D15" s="2" t="s">
        <v>29</v>
      </c>
      <c r="E15" s="2">
        <v>44</v>
      </c>
      <c r="F15" s="2" t="s">
        <v>21</v>
      </c>
      <c r="G15" s="2" t="s">
        <v>38</v>
      </c>
      <c r="H15" s="2" t="s">
        <v>90</v>
      </c>
      <c r="I15" s="2">
        <v>116901</v>
      </c>
      <c r="J15" s="2" t="s">
        <v>71</v>
      </c>
      <c r="K15" s="2" t="s">
        <v>91</v>
      </c>
      <c r="L15" s="2" t="s">
        <v>26</v>
      </c>
      <c r="M15" s="2" t="str">
        <f>VLOOKUP(F15,Departments!$A$1:$C$6,2,0)</f>
        <v>HR</v>
      </c>
      <c r="N15" s="2" t="str">
        <f>INDEX(Departments!$B$1:$B$6, MATCH(Employees!F15, Departments!$A$1:$A$6, 0))</f>
        <v>HR</v>
      </c>
      <c r="O15" s="3" t="str">
        <f>INDEX(Departments!$B$2:$B$6,MATCH(Employees!F15,Departments!$A$2:$A$6,0))</f>
        <v>HR</v>
      </c>
      <c r="P15" s="3">
        <f>INDEX(Performance!$C$2:$C$501,MATCH(Employees!A15,Performance!$A$2:$A$501,0))</f>
        <v>2</v>
      </c>
      <c r="Q15" s="4">
        <f t="shared" si="0"/>
        <v>5845.05</v>
      </c>
    </row>
    <row r="16" spans="1:20" hidden="1" x14ac:dyDescent="0.25">
      <c r="A16" s="2" t="s">
        <v>92</v>
      </c>
      <c r="B16" s="2" t="s">
        <v>44</v>
      </c>
      <c r="C16" s="2" t="s">
        <v>89</v>
      </c>
      <c r="D16" s="2" t="s">
        <v>20</v>
      </c>
      <c r="E16" s="2">
        <v>55</v>
      </c>
      <c r="F16" s="2" t="s">
        <v>56</v>
      </c>
      <c r="G16" s="2" t="s">
        <v>22</v>
      </c>
      <c r="H16" s="2" t="s">
        <v>93</v>
      </c>
      <c r="I16" s="2">
        <v>85190</v>
      </c>
      <c r="J16" s="2" t="s">
        <v>66</v>
      </c>
      <c r="K16" s="2" t="s">
        <v>94</v>
      </c>
      <c r="L16" s="2" t="s">
        <v>42</v>
      </c>
      <c r="M16" s="2" t="str">
        <f>VLOOKUP(F16,Departments!$A$1:$C$6,2,0)</f>
        <v>Finance</v>
      </c>
      <c r="N16" s="2" t="str">
        <f>INDEX(Departments!$B$1:$B$6, MATCH(Employees!F16, Departments!$A$1:$A$6, 0))</f>
        <v>Finance</v>
      </c>
      <c r="O16" s="3" t="str">
        <f>INDEX(Departments!$B$2:$B$6,MATCH(Employees!F16,Departments!$A$2:$A$6,0))</f>
        <v>Finance</v>
      </c>
      <c r="P16" s="3">
        <f>INDEX(Performance!$C$2:$C$501,MATCH(Employees!A16,Performance!$A$2:$A$501,0))</f>
        <v>4</v>
      </c>
      <c r="Q16" s="4">
        <f t="shared" si="0"/>
        <v>8519</v>
      </c>
    </row>
    <row r="17" spans="1:17" hidden="1" x14ac:dyDescent="0.25">
      <c r="A17" s="2" t="s">
        <v>95</v>
      </c>
      <c r="B17" s="2" t="s">
        <v>60</v>
      </c>
      <c r="C17" s="2" t="s">
        <v>96</v>
      </c>
      <c r="D17" s="2" t="s">
        <v>20</v>
      </c>
      <c r="E17" s="2">
        <v>30</v>
      </c>
      <c r="F17" s="2" t="s">
        <v>37</v>
      </c>
      <c r="G17" s="2" t="s">
        <v>38</v>
      </c>
      <c r="H17" s="2" t="s">
        <v>97</v>
      </c>
      <c r="I17" s="2">
        <v>95723</v>
      </c>
      <c r="J17" s="2" t="s">
        <v>71</v>
      </c>
      <c r="K17" s="2" t="s">
        <v>98</v>
      </c>
      <c r="L17" s="2" t="s">
        <v>42</v>
      </c>
      <c r="M17" s="2" t="str">
        <f>VLOOKUP(F17,Departments!$A$1:$C$6,2,0)</f>
        <v>Sales</v>
      </c>
      <c r="N17" s="2" t="str">
        <f>INDEX(Departments!$B$1:$B$6, MATCH(Employees!F17, Departments!$A$1:$A$6, 0))</f>
        <v>Sales</v>
      </c>
      <c r="O17" s="3" t="str">
        <f>INDEX(Departments!$B$2:$B$6,MATCH(Employees!F17,Departments!$A$2:$A$6,0))</f>
        <v>Sales</v>
      </c>
      <c r="P17" s="3">
        <f>INDEX(Performance!$C$2:$C$501,MATCH(Employees!A17,Performance!$A$2:$A$501,0))</f>
        <v>2</v>
      </c>
      <c r="Q17" s="4">
        <f t="shared" si="0"/>
        <v>4786.1500000000005</v>
      </c>
    </row>
    <row r="18" spans="1:17" hidden="1" x14ac:dyDescent="0.25">
      <c r="A18" s="2" t="s">
        <v>99</v>
      </c>
      <c r="B18" s="2" t="s">
        <v>100</v>
      </c>
      <c r="C18" s="2" t="s">
        <v>101</v>
      </c>
      <c r="D18" s="2" t="s">
        <v>20</v>
      </c>
      <c r="E18" s="2">
        <v>51</v>
      </c>
      <c r="F18" s="2" t="s">
        <v>37</v>
      </c>
      <c r="G18" s="2" t="s">
        <v>31</v>
      </c>
      <c r="H18" s="2" t="s">
        <v>102</v>
      </c>
      <c r="I18" s="2">
        <v>35234</v>
      </c>
      <c r="J18" s="2" t="s">
        <v>66</v>
      </c>
      <c r="K18" s="2" t="s">
        <v>103</v>
      </c>
      <c r="L18" s="2" t="s">
        <v>42</v>
      </c>
      <c r="M18" s="2" t="str">
        <f>VLOOKUP(F18,Departments!$A$1:$C$6,2,0)</f>
        <v>Sales</v>
      </c>
      <c r="N18" s="2" t="str">
        <f>INDEX(Departments!$B$1:$B$6, MATCH(Employees!F18, Departments!$A$1:$A$6, 0))</f>
        <v>Sales</v>
      </c>
      <c r="O18" s="3" t="str">
        <f>INDEX(Departments!$B$2:$B$6,MATCH(Employees!F18,Departments!$A$2:$A$6,0))</f>
        <v>Sales</v>
      </c>
      <c r="P18" s="3">
        <f>INDEX(Performance!$C$2:$C$501,MATCH(Employees!A18,Performance!$A$2:$A$501,0))</f>
        <v>1</v>
      </c>
      <c r="Q18" s="4">
        <f t="shared" si="0"/>
        <v>1761.7</v>
      </c>
    </row>
    <row r="19" spans="1:17" hidden="1" x14ac:dyDescent="0.25">
      <c r="A19" s="2" t="s">
        <v>104</v>
      </c>
      <c r="B19" s="2" t="s">
        <v>64</v>
      </c>
      <c r="C19" s="2" t="s">
        <v>28</v>
      </c>
      <c r="D19" s="2" t="s">
        <v>29</v>
      </c>
      <c r="E19" s="2">
        <v>38</v>
      </c>
      <c r="F19" s="2" t="s">
        <v>21</v>
      </c>
      <c r="G19" s="2" t="s">
        <v>31</v>
      </c>
      <c r="H19" s="2" t="s">
        <v>105</v>
      </c>
      <c r="I19" s="2">
        <v>102733</v>
      </c>
      <c r="J19" s="2" t="s">
        <v>24</v>
      </c>
      <c r="K19" s="2" t="s">
        <v>106</v>
      </c>
      <c r="L19" s="2" t="s">
        <v>42</v>
      </c>
      <c r="M19" s="2" t="str">
        <f>VLOOKUP(F19,Departments!$A$1:$C$6,2,0)</f>
        <v>HR</v>
      </c>
      <c r="N19" s="2" t="str">
        <f>INDEX(Departments!$B$1:$B$6, MATCH(Employees!F19, Departments!$A$1:$A$6, 0))</f>
        <v>HR</v>
      </c>
      <c r="O19" s="3" t="str">
        <f>INDEX(Departments!$B$2:$B$6,MATCH(Employees!F19,Departments!$A$2:$A$6,0))</f>
        <v>HR</v>
      </c>
      <c r="P19" s="3">
        <f>INDEX(Performance!$C$2:$C$501,MATCH(Employees!A19,Performance!$A$2:$A$501,0))</f>
        <v>4</v>
      </c>
      <c r="Q19" s="4">
        <f t="shared" si="0"/>
        <v>10273.300000000001</v>
      </c>
    </row>
    <row r="20" spans="1:17" hidden="1" x14ac:dyDescent="0.25">
      <c r="A20" s="2" t="s">
        <v>107</v>
      </c>
      <c r="B20" s="2" t="s">
        <v>36</v>
      </c>
      <c r="C20" s="2" t="s">
        <v>84</v>
      </c>
      <c r="D20" s="2" t="s">
        <v>20</v>
      </c>
      <c r="E20" s="2">
        <v>46</v>
      </c>
      <c r="F20" s="2" t="s">
        <v>21</v>
      </c>
      <c r="G20" s="2" t="s">
        <v>46</v>
      </c>
      <c r="H20" s="2" t="s">
        <v>108</v>
      </c>
      <c r="I20" s="2">
        <v>76829</v>
      </c>
      <c r="J20" s="2" t="s">
        <v>71</v>
      </c>
      <c r="K20" s="2" t="s">
        <v>109</v>
      </c>
      <c r="L20" s="2" t="s">
        <v>26</v>
      </c>
      <c r="M20" s="2" t="str">
        <f>VLOOKUP(F20,Departments!$A$1:$C$6,2,0)</f>
        <v>HR</v>
      </c>
      <c r="N20" s="2" t="str">
        <f>INDEX(Departments!$B$1:$B$6, MATCH(Employees!F20, Departments!$A$1:$A$6, 0))</f>
        <v>HR</v>
      </c>
      <c r="O20" s="3" t="str">
        <f>INDEX(Departments!$B$2:$B$6,MATCH(Employees!F20,Departments!$A$2:$A$6,0))</f>
        <v>HR</v>
      </c>
      <c r="P20" s="3">
        <f>INDEX(Performance!$C$2:$C$501,MATCH(Employees!A20,Performance!$A$2:$A$501,0))</f>
        <v>5</v>
      </c>
      <c r="Q20" s="4">
        <f t="shared" si="0"/>
        <v>11524.35</v>
      </c>
    </row>
    <row r="21" spans="1:17" hidden="1" x14ac:dyDescent="0.25">
      <c r="A21" s="2" t="s">
        <v>110</v>
      </c>
      <c r="B21" s="2" t="s">
        <v>100</v>
      </c>
      <c r="C21" s="2" t="s">
        <v>19</v>
      </c>
      <c r="D21" s="2" t="s">
        <v>29</v>
      </c>
      <c r="E21" s="2">
        <v>60</v>
      </c>
      <c r="F21" s="2" t="s">
        <v>45</v>
      </c>
      <c r="G21" s="2" t="s">
        <v>38</v>
      </c>
      <c r="H21" s="2" t="s">
        <v>111</v>
      </c>
      <c r="I21" s="2">
        <v>69718</v>
      </c>
      <c r="J21" s="2" t="s">
        <v>40</v>
      </c>
      <c r="K21" s="2" t="s">
        <v>112</v>
      </c>
      <c r="L21" s="2" t="s">
        <v>42</v>
      </c>
      <c r="M21" s="2" t="str">
        <f>VLOOKUP(F21,Departments!$A$1:$C$6,2,0)</f>
        <v>Marketing</v>
      </c>
      <c r="N21" s="2" t="str">
        <f>INDEX(Departments!$B$1:$B$6, MATCH(Employees!F21, Departments!$A$1:$A$6, 0))</f>
        <v>Marketing</v>
      </c>
      <c r="O21" s="3" t="str">
        <f>INDEX(Departments!$B$2:$B$6,MATCH(Employees!F21,Departments!$A$2:$A$6,0))</f>
        <v>Marketing</v>
      </c>
      <c r="P21" s="3">
        <f>INDEX(Performance!$C$2:$C$501,MATCH(Employees!A21,Performance!$A$2:$A$501,0))</f>
        <v>5</v>
      </c>
      <c r="Q21" s="4">
        <f t="shared" si="0"/>
        <v>10457.699999999999</v>
      </c>
    </row>
    <row r="22" spans="1:17" hidden="1" x14ac:dyDescent="0.25">
      <c r="A22" s="2" t="s">
        <v>113</v>
      </c>
      <c r="B22" s="2" t="s">
        <v>100</v>
      </c>
      <c r="C22" s="2" t="s">
        <v>89</v>
      </c>
      <c r="D22" s="2" t="s">
        <v>20</v>
      </c>
      <c r="E22" s="2">
        <v>24</v>
      </c>
      <c r="F22" s="2" t="s">
        <v>37</v>
      </c>
      <c r="G22" s="2" t="s">
        <v>114</v>
      </c>
      <c r="H22" s="2" t="s">
        <v>115</v>
      </c>
      <c r="I22" s="2">
        <v>90834</v>
      </c>
      <c r="J22" s="2" t="s">
        <v>86</v>
      </c>
      <c r="K22" s="2" t="s">
        <v>116</v>
      </c>
      <c r="L22" s="2" t="s">
        <v>26</v>
      </c>
      <c r="M22" s="2" t="str">
        <f>VLOOKUP(F22,Departments!$A$1:$C$6,2,0)</f>
        <v>Sales</v>
      </c>
      <c r="N22" s="2" t="str">
        <f>INDEX(Departments!$B$1:$B$6, MATCH(Employees!F22, Departments!$A$1:$A$6, 0))</f>
        <v>Sales</v>
      </c>
      <c r="O22" s="3" t="str">
        <f>INDEX(Departments!$B$2:$B$6,MATCH(Employees!F22,Departments!$A$2:$A$6,0))</f>
        <v>Sales</v>
      </c>
      <c r="P22" s="3">
        <f>INDEX(Performance!$C$2:$C$501,MATCH(Employees!A22,Performance!$A$2:$A$501,0))</f>
        <v>1</v>
      </c>
      <c r="Q22" s="4">
        <f t="shared" si="0"/>
        <v>4541.7</v>
      </c>
    </row>
    <row r="23" spans="1:17" hidden="1" x14ac:dyDescent="0.25">
      <c r="A23" s="2" t="s">
        <v>117</v>
      </c>
      <c r="B23" s="2" t="s">
        <v>18</v>
      </c>
      <c r="C23" s="2" t="s">
        <v>19</v>
      </c>
      <c r="D23" s="2" t="s">
        <v>29</v>
      </c>
      <c r="E23" s="2">
        <v>51</v>
      </c>
      <c r="F23" s="2" t="s">
        <v>21</v>
      </c>
      <c r="G23" s="2" t="s">
        <v>114</v>
      </c>
      <c r="H23" s="2" t="s">
        <v>118</v>
      </c>
      <c r="I23" s="2">
        <v>51631</v>
      </c>
      <c r="J23" s="2" t="s">
        <v>71</v>
      </c>
      <c r="K23" s="2" t="s">
        <v>119</v>
      </c>
      <c r="L23" s="2" t="s">
        <v>42</v>
      </c>
      <c r="M23" s="2" t="str">
        <f>VLOOKUP(F23,Departments!$A$1:$C$6,2,0)</f>
        <v>HR</v>
      </c>
      <c r="N23" s="2" t="str">
        <f>INDEX(Departments!$B$1:$B$6, MATCH(Employees!F23, Departments!$A$1:$A$6, 0))</f>
        <v>HR</v>
      </c>
      <c r="O23" s="3" t="str">
        <f>INDEX(Departments!$B$2:$B$6,MATCH(Employees!F23,Departments!$A$2:$A$6,0))</f>
        <v>HR</v>
      </c>
      <c r="P23" s="3">
        <f>INDEX(Performance!$C$2:$C$501,MATCH(Employees!A23,Performance!$A$2:$A$501,0))</f>
        <v>5</v>
      </c>
      <c r="Q23" s="4">
        <f t="shared" si="0"/>
        <v>7744.65</v>
      </c>
    </row>
    <row r="24" spans="1:17" hidden="1" x14ac:dyDescent="0.25">
      <c r="A24" s="2" t="s">
        <v>120</v>
      </c>
      <c r="B24" s="2" t="s">
        <v>77</v>
      </c>
      <c r="C24" s="2" t="s">
        <v>69</v>
      </c>
      <c r="D24" s="2" t="s">
        <v>29</v>
      </c>
      <c r="E24" s="2">
        <v>45</v>
      </c>
      <c r="F24" s="2" t="s">
        <v>37</v>
      </c>
      <c r="G24" s="2" t="s">
        <v>31</v>
      </c>
      <c r="H24" s="2" t="s">
        <v>121</v>
      </c>
      <c r="I24" s="2">
        <v>51414</v>
      </c>
      <c r="J24" s="2" t="s">
        <v>71</v>
      </c>
      <c r="K24" s="2" t="s">
        <v>122</v>
      </c>
      <c r="L24" s="2" t="s">
        <v>26</v>
      </c>
      <c r="M24" s="2" t="str">
        <f>VLOOKUP(F24,Departments!$A$1:$C$6,2,0)</f>
        <v>Sales</v>
      </c>
      <c r="N24" s="2" t="str">
        <f>INDEX(Departments!$B$1:$B$6, MATCH(Employees!F24, Departments!$A$1:$A$6, 0))</f>
        <v>Sales</v>
      </c>
      <c r="O24" s="3" t="str">
        <f>INDEX(Departments!$B$2:$B$6,MATCH(Employees!F24,Departments!$A$2:$A$6,0))</f>
        <v>Sales</v>
      </c>
      <c r="P24" s="3">
        <f>INDEX(Performance!$C$2:$C$501,MATCH(Employees!A24,Performance!$A$2:$A$501,0))</f>
        <v>3</v>
      </c>
      <c r="Q24" s="4">
        <f t="shared" si="0"/>
        <v>3598.9800000000005</v>
      </c>
    </row>
    <row r="25" spans="1:17" x14ac:dyDescent="0.25">
      <c r="A25" s="2" t="s">
        <v>123</v>
      </c>
      <c r="B25" s="2" t="s">
        <v>50</v>
      </c>
      <c r="C25" s="2" t="s">
        <v>69</v>
      </c>
      <c r="D25" s="2" t="s">
        <v>29</v>
      </c>
      <c r="E25" s="2">
        <v>35</v>
      </c>
      <c r="F25" s="2" t="s">
        <v>56</v>
      </c>
      <c r="G25" s="2" t="s">
        <v>22</v>
      </c>
      <c r="H25" s="2" t="s">
        <v>124</v>
      </c>
      <c r="I25" s="2">
        <v>79578</v>
      </c>
      <c r="J25" s="2" t="s">
        <v>24</v>
      </c>
      <c r="K25" s="2" t="s">
        <v>125</v>
      </c>
      <c r="L25" s="2" t="s">
        <v>42</v>
      </c>
      <c r="M25" s="2" t="str">
        <f>VLOOKUP(F25,Departments!$A$1:$C$6,2,0)</f>
        <v>Finance</v>
      </c>
      <c r="N25" s="2" t="str">
        <f>INDEX(Departments!$B$1:$B$6, MATCH(Employees!F25, Departments!$A$1:$A$6, 0))</f>
        <v>Finance</v>
      </c>
      <c r="O25" s="6" t="str">
        <f>INDEX(Departments!$B$2:$B$6,MATCH(Employees!F25,Departments!$A$2:$A$6,0))</f>
        <v>Finance</v>
      </c>
      <c r="P25" s="6">
        <f>_xlfn.XLOOKUP(A25,Performance!$A$2:$A$501,Performance!$C$2:$C$501)</f>
        <v>4</v>
      </c>
      <c r="Q25" s="7">
        <f t="shared" si="0"/>
        <v>7957.8</v>
      </c>
    </row>
    <row r="26" spans="1:17" hidden="1" x14ac:dyDescent="0.25">
      <c r="A26" s="2" t="s">
        <v>126</v>
      </c>
      <c r="B26" s="2" t="s">
        <v>77</v>
      </c>
      <c r="C26" s="2" t="s">
        <v>89</v>
      </c>
      <c r="D26" s="2" t="s">
        <v>29</v>
      </c>
      <c r="E26" s="2">
        <v>47</v>
      </c>
      <c r="F26" s="2" t="s">
        <v>30</v>
      </c>
      <c r="G26" s="2" t="s">
        <v>114</v>
      </c>
      <c r="H26" s="2" t="s">
        <v>127</v>
      </c>
      <c r="I26" s="2">
        <v>111899</v>
      </c>
      <c r="J26" s="2" t="s">
        <v>71</v>
      </c>
      <c r="K26" s="2" t="s">
        <v>128</v>
      </c>
      <c r="L26" s="2" t="s">
        <v>42</v>
      </c>
      <c r="M26" s="2" t="str">
        <f>VLOOKUP(F26,Departments!$A$1:$C$6,2,0)</f>
        <v>IT</v>
      </c>
      <c r="N26" s="2" t="str">
        <f>INDEX(Departments!$B$1:$B$6, MATCH(Employees!F26, Departments!$A$1:$A$6, 0))</f>
        <v>IT</v>
      </c>
      <c r="O26" s="3" t="str">
        <f>INDEX(Departments!$B$2:$B$6,MATCH(Employees!F26,Departments!$A$2:$A$6,0))</f>
        <v>IT</v>
      </c>
      <c r="P26" s="3">
        <f>INDEX(Performance!$C$2:$C$501,MATCH(Employees!A26,Performance!$A$2:$A$501,0))</f>
        <v>4</v>
      </c>
      <c r="Q26" s="4">
        <f t="shared" si="0"/>
        <v>11189.900000000001</v>
      </c>
    </row>
    <row r="27" spans="1:17" hidden="1" x14ac:dyDescent="0.25">
      <c r="A27" s="2" t="s">
        <v>129</v>
      </c>
      <c r="B27" s="2" t="s">
        <v>64</v>
      </c>
      <c r="C27" s="2" t="s">
        <v>19</v>
      </c>
      <c r="D27" s="2" t="s">
        <v>29</v>
      </c>
      <c r="E27" s="2">
        <v>47</v>
      </c>
      <c r="F27" s="2" t="s">
        <v>37</v>
      </c>
      <c r="G27" s="2" t="s">
        <v>31</v>
      </c>
      <c r="H27" s="2" t="s">
        <v>130</v>
      </c>
      <c r="I27" s="2">
        <v>95862</v>
      </c>
      <c r="J27" s="2" t="s">
        <v>24</v>
      </c>
      <c r="K27" s="2" t="s">
        <v>131</v>
      </c>
      <c r="L27" s="2" t="s">
        <v>26</v>
      </c>
      <c r="M27" s="2" t="str">
        <f>VLOOKUP(F27,Departments!$A$1:$C$6,2,0)</f>
        <v>Sales</v>
      </c>
      <c r="N27" s="2" t="str">
        <f>INDEX(Departments!$B$1:$B$6, MATCH(Employees!F27, Departments!$A$1:$A$6, 0))</f>
        <v>Sales</v>
      </c>
      <c r="O27" s="3" t="str">
        <f>INDEX(Departments!$B$2:$B$6,MATCH(Employees!F27,Departments!$A$2:$A$6,0))</f>
        <v>Sales</v>
      </c>
      <c r="P27" s="3">
        <f>INDEX(Performance!$C$2:$C$501,MATCH(Employees!A27,Performance!$A$2:$A$501,0))</f>
        <v>1</v>
      </c>
      <c r="Q27" s="4">
        <f t="shared" si="0"/>
        <v>4793.1000000000004</v>
      </c>
    </row>
    <row r="28" spans="1:17" hidden="1" x14ac:dyDescent="0.25">
      <c r="A28" s="2" t="s">
        <v>132</v>
      </c>
      <c r="B28" s="2" t="s">
        <v>18</v>
      </c>
      <c r="C28" s="2" t="s">
        <v>89</v>
      </c>
      <c r="D28" s="2" t="s">
        <v>20</v>
      </c>
      <c r="E28" s="2">
        <v>49</v>
      </c>
      <c r="F28" s="2" t="s">
        <v>30</v>
      </c>
      <c r="G28" s="2" t="s">
        <v>22</v>
      </c>
      <c r="H28" s="2" t="s">
        <v>133</v>
      </c>
      <c r="I28" s="2">
        <v>110397</v>
      </c>
      <c r="J28" s="2" t="s">
        <v>86</v>
      </c>
      <c r="K28" s="2" t="s">
        <v>134</v>
      </c>
      <c r="L28" s="2" t="s">
        <v>42</v>
      </c>
      <c r="M28" s="2" t="str">
        <f>VLOOKUP(F28,Departments!$A$1:$C$6,2,0)</f>
        <v>IT</v>
      </c>
      <c r="N28" s="2" t="str">
        <f>INDEX(Departments!$B$1:$B$6, MATCH(Employees!F28, Departments!$A$1:$A$6, 0))</f>
        <v>IT</v>
      </c>
      <c r="O28" s="3" t="str">
        <f>INDEX(Departments!$B$2:$B$6,MATCH(Employees!F28,Departments!$A$2:$A$6,0))</f>
        <v>IT</v>
      </c>
      <c r="P28" s="3">
        <f>INDEX(Performance!$C$2:$C$501,MATCH(Employees!A28,Performance!$A$2:$A$501,0))</f>
        <v>1</v>
      </c>
      <c r="Q28" s="4">
        <f t="shared" si="0"/>
        <v>5519.85</v>
      </c>
    </row>
    <row r="29" spans="1:17" hidden="1" x14ac:dyDescent="0.25">
      <c r="A29" s="2" t="s">
        <v>135</v>
      </c>
      <c r="B29" s="2" t="s">
        <v>50</v>
      </c>
      <c r="C29" s="2" t="s">
        <v>136</v>
      </c>
      <c r="D29" s="2" t="s">
        <v>20</v>
      </c>
      <c r="E29" s="2">
        <v>27</v>
      </c>
      <c r="F29" s="2" t="s">
        <v>56</v>
      </c>
      <c r="G29" s="2" t="s">
        <v>31</v>
      </c>
      <c r="H29" s="2" t="s">
        <v>137</v>
      </c>
      <c r="I29" s="2">
        <v>111149</v>
      </c>
      <c r="J29" s="2" t="s">
        <v>86</v>
      </c>
      <c r="K29" s="2" t="s">
        <v>138</v>
      </c>
      <c r="L29" s="2" t="s">
        <v>26</v>
      </c>
      <c r="M29" s="2" t="str">
        <f>VLOOKUP(F29,Departments!$A$1:$C$6,2,0)</f>
        <v>Finance</v>
      </c>
      <c r="N29" s="2" t="str">
        <f>INDEX(Departments!$B$1:$B$6, MATCH(Employees!F29, Departments!$A$1:$A$6, 0))</f>
        <v>Finance</v>
      </c>
      <c r="O29" s="3" t="str">
        <f>INDEX(Departments!$B$2:$B$6,MATCH(Employees!F29,Departments!$A$2:$A$6,0))</f>
        <v>Finance</v>
      </c>
      <c r="P29" s="3">
        <f>INDEX(Performance!$C$2:$C$501,MATCH(Employees!A29,Performance!$A$2:$A$501,0))</f>
        <v>4</v>
      </c>
      <c r="Q29" s="4">
        <f t="shared" si="0"/>
        <v>11114.900000000001</v>
      </c>
    </row>
    <row r="30" spans="1:17" hidden="1" x14ac:dyDescent="0.25">
      <c r="A30" s="2" t="s">
        <v>139</v>
      </c>
      <c r="B30" s="2" t="s">
        <v>60</v>
      </c>
      <c r="C30" s="2" t="s">
        <v>84</v>
      </c>
      <c r="D30" s="2" t="s">
        <v>29</v>
      </c>
      <c r="E30" s="2">
        <v>36</v>
      </c>
      <c r="F30" s="2" t="s">
        <v>37</v>
      </c>
      <c r="G30" s="2" t="s">
        <v>22</v>
      </c>
      <c r="H30" s="2" t="s">
        <v>140</v>
      </c>
      <c r="I30" s="2">
        <v>67035</v>
      </c>
      <c r="J30" s="2" t="s">
        <v>86</v>
      </c>
      <c r="K30" s="2" t="s">
        <v>141</v>
      </c>
      <c r="L30" s="2" t="s">
        <v>42</v>
      </c>
      <c r="M30" s="2" t="str">
        <f>VLOOKUP(F30,Departments!$A$1:$C$6,2,0)</f>
        <v>Sales</v>
      </c>
      <c r="N30" s="2" t="str">
        <f>INDEX(Departments!$B$1:$B$6, MATCH(Employees!F30, Departments!$A$1:$A$6, 0))</f>
        <v>Sales</v>
      </c>
      <c r="O30" s="3" t="str">
        <f>INDEX(Departments!$B$2:$B$6,MATCH(Employees!F30,Departments!$A$2:$A$6,0))</f>
        <v>Sales</v>
      </c>
      <c r="P30" s="3">
        <f>INDEX(Performance!$C$2:$C$501,MATCH(Employees!A30,Performance!$A$2:$A$501,0))</f>
        <v>5</v>
      </c>
      <c r="Q30" s="4">
        <f t="shared" si="0"/>
        <v>10055.25</v>
      </c>
    </row>
    <row r="31" spans="1:17" hidden="1" x14ac:dyDescent="0.25">
      <c r="A31" s="2" t="s">
        <v>142</v>
      </c>
      <c r="B31" s="2" t="s">
        <v>44</v>
      </c>
      <c r="C31" s="2" t="s">
        <v>19</v>
      </c>
      <c r="D31" s="2" t="s">
        <v>29</v>
      </c>
      <c r="E31" s="2">
        <v>41</v>
      </c>
      <c r="F31" s="2" t="s">
        <v>30</v>
      </c>
      <c r="G31" s="2" t="s">
        <v>22</v>
      </c>
      <c r="H31" s="2" t="s">
        <v>143</v>
      </c>
      <c r="I31" s="2">
        <v>103851</v>
      </c>
      <c r="J31" s="2" t="s">
        <v>40</v>
      </c>
      <c r="K31" s="2" t="s">
        <v>144</v>
      </c>
      <c r="L31" s="2" t="s">
        <v>42</v>
      </c>
      <c r="M31" s="2" t="str">
        <f>VLOOKUP(F31,Departments!$A$1:$C$6,2,0)</f>
        <v>IT</v>
      </c>
      <c r="N31" s="2" t="str">
        <f>INDEX(Departments!$B$1:$B$6, MATCH(Employees!F31, Departments!$A$1:$A$6, 0))</f>
        <v>IT</v>
      </c>
      <c r="O31" s="3" t="str">
        <f>INDEX(Departments!$B$2:$B$6,MATCH(Employees!F31,Departments!$A$2:$A$6,0))</f>
        <v>IT</v>
      </c>
      <c r="P31" s="3">
        <f>INDEX(Performance!$C$2:$C$501,MATCH(Employees!A31,Performance!$A$2:$A$501,0))</f>
        <v>2</v>
      </c>
      <c r="Q31" s="4">
        <f t="shared" si="0"/>
        <v>5192.55</v>
      </c>
    </row>
    <row r="32" spans="1:17" hidden="1" x14ac:dyDescent="0.25">
      <c r="A32" s="2" t="s">
        <v>145</v>
      </c>
      <c r="B32" s="2" t="s">
        <v>18</v>
      </c>
      <c r="C32" s="2" t="s">
        <v>51</v>
      </c>
      <c r="D32" s="2" t="s">
        <v>20</v>
      </c>
      <c r="E32" s="2">
        <v>26</v>
      </c>
      <c r="F32" s="2" t="s">
        <v>45</v>
      </c>
      <c r="G32" s="2" t="s">
        <v>114</v>
      </c>
      <c r="H32" s="2" t="s">
        <v>146</v>
      </c>
      <c r="I32" s="2">
        <v>63676</v>
      </c>
      <c r="J32" s="2" t="s">
        <v>24</v>
      </c>
      <c r="K32" s="2" t="s">
        <v>147</v>
      </c>
      <c r="L32" s="2" t="s">
        <v>42</v>
      </c>
      <c r="M32" s="2" t="str">
        <f>VLOOKUP(F32,Departments!$A$1:$C$6,2,0)</f>
        <v>Marketing</v>
      </c>
      <c r="N32" s="2" t="str">
        <f>INDEX(Departments!$B$1:$B$6, MATCH(Employees!F32, Departments!$A$1:$A$6, 0))</f>
        <v>Marketing</v>
      </c>
      <c r="O32" s="3" t="str">
        <f>INDEX(Departments!$B$2:$B$6,MATCH(Employees!F32,Departments!$A$2:$A$6,0))</f>
        <v>Marketing</v>
      </c>
      <c r="P32" s="3">
        <f>INDEX(Performance!$C$2:$C$501,MATCH(Employees!A32,Performance!$A$2:$A$501,0))</f>
        <v>1</v>
      </c>
      <c r="Q32" s="4">
        <f t="shared" si="0"/>
        <v>3183.8</v>
      </c>
    </row>
    <row r="33" spans="1:17" hidden="1" x14ac:dyDescent="0.25">
      <c r="A33" s="2" t="s">
        <v>148</v>
      </c>
      <c r="B33" s="2" t="s">
        <v>149</v>
      </c>
      <c r="C33" s="2" t="s">
        <v>101</v>
      </c>
      <c r="D33" s="2" t="s">
        <v>20</v>
      </c>
      <c r="E33" s="2">
        <v>31</v>
      </c>
      <c r="F33" s="2" t="s">
        <v>21</v>
      </c>
      <c r="G33" s="2" t="s">
        <v>46</v>
      </c>
      <c r="H33" s="2" t="s">
        <v>150</v>
      </c>
      <c r="I33" s="2">
        <v>115269</v>
      </c>
      <c r="J33" s="2" t="s">
        <v>86</v>
      </c>
      <c r="K33" s="2" t="s">
        <v>151</v>
      </c>
      <c r="L33" s="2" t="s">
        <v>42</v>
      </c>
      <c r="M33" s="2" t="str">
        <f>VLOOKUP(F33,Departments!$A$1:$C$6,2,0)</f>
        <v>HR</v>
      </c>
      <c r="N33" s="2" t="str">
        <f>INDEX(Departments!$B$1:$B$6, MATCH(Employees!F33, Departments!$A$1:$A$6, 0))</f>
        <v>HR</v>
      </c>
      <c r="O33" s="3" t="str">
        <f>INDEX(Departments!$B$2:$B$6,MATCH(Employees!F33,Departments!$A$2:$A$6,0))</f>
        <v>HR</v>
      </c>
      <c r="P33" s="3">
        <f>INDEX(Performance!$C$2:$C$501,MATCH(Employees!A33,Performance!$A$2:$A$501,0))</f>
        <v>4</v>
      </c>
      <c r="Q33" s="4">
        <f t="shared" si="0"/>
        <v>11526.900000000001</v>
      </c>
    </row>
    <row r="34" spans="1:17" hidden="1" x14ac:dyDescent="0.25">
      <c r="A34" s="2" t="s">
        <v>152</v>
      </c>
      <c r="B34" s="2" t="s">
        <v>149</v>
      </c>
      <c r="C34" s="2" t="s">
        <v>69</v>
      </c>
      <c r="D34" s="2" t="s">
        <v>29</v>
      </c>
      <c r="E34" s="2">
        <v>47</v>
      </c>
      <c r="F34" s="2" t="s">
        <v>37</v>
      </c>
      <c r="G34" s="2" t="s">
        <v>22</v>
      </c>
      <c r="H34" s="2" t="s">
        <v>153</v>
      </c>
      <c r="I34" s="2">
        <v>77203</v>
      </c>
      <c r="J34" s="2" t="s">
        <v>40</v>
      </c>
      <c r="K34" s="2" t="s">
        <v>154</v>
      </c>
      <c r="L34" s="2" t="s">
        <v>26</v>
      </c>
      <c r="M34" s="2" t="str">
        <f>VLOOKUP(F34,Departments!$A$1:$C$6,2,0)</f>
        <v>Sales</v>
      </c>
      <c r="N34" s="2" t="str">
        <f>INDEX(Departments!$B$1:$B$6, MATCH(Employees!F34, Departments!$A$1:$A$6, 0))</f>
        <v>Sales</v>
      </c>
      <c r="O34" s="3" t="str">
        <f>INDEX(Departments!$B$2:$B$6,MATCH(Employees!F34,Departments!$A$2:$A$6,0))</f>
        <v>Sales</v>
      </c>
      <c r="P34" s="3">
        <f>INDEX(Performance!$C$2:$C$501,MATCH(Employees!A34,Performance!$A$2:$A$501,0))</f>
        <v>5</v>
      </c>
      <c r="Q34" s="4">
        <f t="shared" si="0"/>
        <v>11580.449999999999</v>
      </c>
    </row>
    <row r="35" spans="1:17" hidden="1" x14ac:dyDescent="0.25">
      <c r="A35" s="2" t="s">
        <v>155</v>
      </c>
      <c r="B35" s="2" t="s">
        <v>64</v>
      </c>
      <c r="C35" s="2" t="s">
        <v>89</v>
      </c>
      <c r="D35" s="2" t="s">
        <v>29</v>
      </c>
      <c r="E35" s="2">
        <v>57</v>
      </c>
      <c r="F35" s="2" t="s">
        <v>21</v>
      </c>
      <c r="G35" s="2" t="s">
        <v>114</v>
      </c>
      <c r="H35" s="2" t="s">
        <v>156</v>
      </c>
      <c r="I35" s="2">
        <v>113291</v>
      </c>
      <c r="J35" s="2" t="s">
        <v>86</v>
      </c>
      <c r="K35" s="2" t="s">
        <v>157</v>
      </c>
      <c r="L35" s="2" t="s">
        <v>42</v>
      </c>
      <c r="M35" s="2" t="str">
        <f>VLOOKUP(F35,Departments!$A$1:$C$6,2,0)</f>
        <v>HR</v>
      </c>
      <c r="N35" s="2" t="str">
        <f>INDEX(Departments!$B$1:$B$6, MATCH(Employees!F35, Departments!$A$1:$A$6, 0))</f>
        <v>HR</v>
      </c>
      <c r="O35" s="3" t="str">
        <f>INDEX(Departments!$B$2:$B$6,MATCH(Employees!F35,Departments!$A$2:$A$6,0))</f>
        <v>HR</v>
      </c>
      <c r="P35" s="3">
        <f>INDEX(Performance!$C$2:$C$501,MATCH(Employees!A35,Performance!$A$2:$A$501,0))</f>
        <v>1</v>
      </c>
      <c r="Q35" s="4">
        <f t="shared" si="0"/>
        <v>5664.55</v>
      </c>
    </row>
    <row r="36" spans="1:17" hidden="1" x14ac:dyDescent="0.25">
      <c r="A36" s="2" t="s">
        <v>158</v>
      </c>
      <c r="B36" s="2" t="s">
        <v>44</v>
      </c>
      <c r="C36" s="2" t="s">
        <v>84</v>
      </c>
      <c r="D36" s="2" t="s">
        <v>20</v>
      </c>
      <c r="E36" s="2">
        <v>45</v>
      </c>
      <c r="F36" s="2" t="s">
        <v>21</v>
      </c>
      <c r="G36" s="2" t="s">
        <v>22</v>
      </c>
      <c r="H36" s="2" t="s">
        <v>159</v>
      </c>
      <c r="I36" s="2">
        <v>93729</v>
      </c>
      <c r="J36" s="2" t="s">
        <v>86</v>
      </c>
      <c r="K36" s="2" t="s">
        <v>160</v>
      </c>
      <c r="L36" s="2" t="s">
        <v>42</v>
      </c>
      <c r="M36" s="2" t="str">
        <f>VLOOKUP(F36,Departments!$A$1:$C$6,2,0)</f>
        <v>HR</v>
      </c>
      <c r="N36" s="2" t="str">
        <f>INDEX(Departments!$B$1:$B$6, MATCH(Employees!F36, Departments!$A$1:$A$6, 0))</f>
        <v>HR</v>
      </c>
      <c r="O36" s="3" t="str">
        <f>INDEX(Departments!$B$2:$B$6,MATCH(Employees!F36,Departments!$A$2:$A$6,0))</f>
        <v>HR</v>
      </c>
      <c r="P36" s="3">
        <f>INDEX(Performance!$C$2:$C$501,MATCH(Employees!A36,Performance!$A$2:$A$501,0))</f>
        <v>5</v>
      </c>
      <c r="Q36" s="4">
        <f t="shared" si="0"/>
        <v>14059.35</v>
      </c>
    </row>
    <row r="37" spans="1:17" hidden="1" x14ac:dyDescent="0.25">
      <c r="A37" s="2" t="s">
        <v>161</v>
      </c>
      <c r="B37" s="2" t="s">
        <v>36</v>
      </c>
      <c r="C37" s="2" t="s">
        <v>51</v>
      </c>
      <c r="D37" s="2" t="s">
        <v>29</v>
      </c>
      <c r="E37" s="2">
        <v>40</v>
      </c>
      <c r="F37" s="2" t="s">
        <v>45</v>
      </c>
      <c r="G37" s="2" t="s">
        <v>114</v>
      </c>
      <c r="H37" s="2" t="s">
        <v>162</v>
      </c>
      <c r="I37" s="2">
        <v>35947</v>
      </c>
      <c r="J37" s="2" t="s">
        <v>71</v>
      </c>
      <c r="K37" s="2" t="s">
        <v>163</v>
      </c>
      <c r="L37" s="2" t="s">
        <v>42</v>
      </c>
      <c r="M37" s="2" t="str">
        <f>VLOOKUP(F37,Departments!$A$1:$C$6,2,0)</f>
        <v>Marketing</v>
      </c>
      <c r="N37" s="2" t="str">
        <f>INDEX(Departments!$B$1:$B$6, MATCH(Employees!F37, Departments!$A$1:$A$6, 0))</f>
        <v>Marketing</v>
      </c>
      <c r="O37" s="3" t="str">
        <f>INDEX(Departments!$B$2:$B$6,MATCH(Employees!F37,Departments!$A$2:$A$6,0))</f>
        <v>Marketing</v>
      </c>
      <c r="P37" s="3">
        <f>INDEX(Performance!$C$2:$C$501,MATCH(Employees!A37,Performance!$A$2:$A$501,0))</f>
        <v>1</v>
      </c>
      <c r="Q37" s="4">
        <f t="shared" si="0"/>
        <v>1797.3500000000001</v>
      </c>
    </row>
    <row r="38" spans="1:17" hidden="1" x14ac:dyDescent="0.25">
      <c r="A38" s="2" t="s">
        <v>164</v>
      </c>
      <c r="B38" s="2" t="s">
        <v>18</v>
      </c>
      <c r="C38" s="2" t="s">
        <v>51</v>
      </c>
      <c r="D38" s="2" t="s">
        <v>20</v>
      </c>
      <c r="E38" s="2">
        <v>49</v>
      </c>
      <c r="F38" s="2" t="s">
        <v>45</v>
      </c>
      <c r="G38" s="2" t="s">
        <v>31</v>
      </c>
      <c r="H38" s="2" t="s">
        <v>165</v>
      </c>
      <c r="I38" s="2">
        <v>72311</v>
      </c>
      <c r="J38" s="2" t="s">
        <v>86</v>
      </c>
      <c r="K38" s="2" t="s">
        <v>166</v>
      </c>
      <c r="L38" s="2" t="s">
        <v>42</v>
      </c>
      <c r="M38" s="2" t="str">
        <f>VLOOKUP(F38,Departments!$A$1:$C$6,2,0)</f>
        <v>Marketing</v>
      </c>
      <c r="N38" s="2" t="str">
        <f>INDEX(Departments!$B$1:$B$6, MATCH(Employees!F38, Departments!$A$1:$A$6, 0))</f>
        <v>Marketing</v>
      </c>
      <c r="O38" s="3" t="str">
        <f>INDEX(Departments!$B$2:$B$6,MATCH(Employees!F38,Departments!$A$2:$A$6,0))</f>
        <v>Marketing</v>
      </c>
      <c r="P38" s="3">
        <f>INDEX(Performance!$C$2:$C$501,MATCH(Employees!A38,Performance!$A$2:$A$501,0))</f>
        <v>4</v>
      </c>
      <c r="Q38" s="4">
        <f t="shared" si="0"/>
        <v>7231.1</v>
      </c>
    </row>
    <row r="39" spans="1:17" hidden="1" x14ac:dyDescent="0.25">
      <c r="A39" s="2" t="s">
        <v>167</v>
      </c>
      <c r="B39" s="2" t="s">
        <v>149</v>
      </c>
      <c r="C39" s="2" t="s">
        <v>96</v>
      </c>
      <c r="D39" s="2" t="s">
        <v>29</v>
      </c>
      <c r="E39" s="2">
        <v>53</v>
      </c>
      <c r="F39" s="2" t="s">
        <v>56</v>
      </c>
      <c r="G39" s="2" t="s">
        <v>46</v>
      </c>
      <c r="H39" s="2" t="s">
        <v>168</v>
      </c>
      <c r="I39" s="2">
        <v>38763</v>
      </c>
      <c r="J39" s="2" t="s">
        <v>66</v>
      </c>
      <c r="K39" s="2" t="s">
        <v>169</v>
      </c>
      <c r="L39" s="2" t="s">
        <v>26</v>
      </c>
      <c r="M39" s="2" t="str">
        <f>VLOOKUP(F39,Departments!$A$1:$C$6,2,0)</f>
        <v>Finance</v>
      </c>
      <c r="N39" s="2" t="str">
        <f>INDEX(Departments!$B$1:$B$6, MATCH(Employees!F39, Departments!$A$1:$A$6, 0))</f>
        <v>Finance</v>
      </c>
      <c r="O39" s="3" t="str">
        <f>INDEX(Departments!$B$2:$B$6,MATCH(Employees!F39,Departments!$A$2:$A$6,0))</f>
        <v>Finance</v>
      </c>
      <c r="P39" s="3">
        <f>INDEX(Performance!$C$2:$C$501,MATCH(Employees!A39,Performance!$A$2:$A$501,0))</f>
        <v>4</v>
      </c>
      <c r="Q39" s="4">
        <f t="shared" si="0"/>
        <v>3876.3</v>
      </c>
    </row>
    <row r="40" spans="1:17" hidden="1" x14ac:dyDescent="0.25">
      <c r="A40" s="2" t="s">
        <v>170</v>
      </c>
      <c r="B40" s="2" t="s">
        <v>44</v>
      </c>
      <c r="C40" s="2" t="s">
        <v>171</v>
      </c>
      <c r="D40" s="2" t="s">
        <v>20</v>
      </c>
      <c r="E40" s="2">
        <v>54</v>
      </c>
      <c r="F40" s="2" t="s">
        <v>37</v>
      </c>
      <c r="G40" s="2" t="s">
        <v>38</v>
      </c>
      <c r="H40" s="2" t="s">
        <v>172</v>
      </c>
      <c r="I40" s="2">
        <v>101175</v>
      </c>
      <c r="J40" s="2" t="s">
        <v>66</v>
      </c>
      <c r="K40" s="2" t="s">
        <v>173</v>
      </c>
      <c r="L40" s="2" t="s">
        <v>26</v>
      </c>
      <c r="M40" s="2" t="str">
        <f>VLOOKUP(F40,Departments!$A$1:$C$6,2,0)</f>
        <v>Sales</v>
      </c>
      <c r="N40" s="2" t="str">
        <f>INDEX(Departments!$B$1:$B$6, MATCH(Employees!F40, Departments!$A$1:$A$6, 0))</f>
        <v>Sales</v>
      </c>
      <c r="O40" s="3" t="str">
        <f>INDEX(Departments!$B$2:$B$6,MATCH(Employees!F40,Departments!$A$2:$A$6,0))</f>
        <v>Sales</v>
      </c>
      <c r="P40" s="3">
        <f>INDEX(Performance!$C$2:$C$501,MATCH(Employees!A40,Performance!$A$2:$A$501,0))</f>
        <v>3</v>
      </c>
      <c r="Q40" s="4">
        <f t="shared" si="0"/>
        <v>7082.2500000000009</v>
      </c>
    </row>
    <row r="41" spans="1:17" hidden="1" x14ac:dyDescent="0.25">
      <c r="A41" s="2" t="s">
        <v>174</v>
      </c>
      <c r="B41" s="2" t="s">
        <v>149</v>
      </c>
      <c r="C41" s="2" t="s">
        <v>96</v>
      </c>
      <c r="D41" s="2" t="s">
        <v>20</v>
      </c>
      <c r="E41" s="2">
        <v>41</v>
      </c>
      <c r="F41" s="2" t="s">
        <v>30</v>
      </c>
      <c r="G41" s="2" t="s">
        <v>114</v>
      </c>
      <c r="H41" s="2" t="s">
        <v>175</v>
      </c>
      <c r="I41" s="2">
        <v>36386</v>
      </c>
      <c r="J41" s="2" t="s">
        <v>71</v>
      </c>
      <c r="K41" s="2" t="s">
        <v>176</v>
      </c>
      <c r="L41" s="2" t="s">
        <v>26</v>
      </c>
      <c r="M41" s="2" t="str">
        <f>VLOOKUP(F41,Departments!$A$1:$C$6,2,0)</f>
        <v>IT</v>
      </c>
      <c r="N41" s="2" t="str">
        <f>INDEX(Departments!$B$1:$B$6, MATCH(Employees!F41, Departments!$A$1:$A$6, 0))</f>
        <v>IT</v>
      </c>
      <c r="O41" s="3" t="str">
        <f>INDEX(Departments!$B$2:$B$6,MATCH(Employees!F41,Departments!$A$2:$A$6,0))</f>
        <v>IT</v>
      </c>
      <c r="P41" s="3">
        <f>INDEX(Performance!$C$2:$C$501,MATCH(Employees!A41,Performance!$A$2:$A$501,0))</f>
        <v>2</v>
      </c>
      <c r="Q41" s="4">
        <f t="shared" si="0"/>
        <v>1819.3000000000002</v>
      </c>
    </row>
    <row r="42" spans="1:17" hidden="1" x14ac:dyDescent="0.25">
      <c r="A42" s="2" t="s">
        <v>177</v>
      </c>
      <c r="B42" s="2" t="s">
        <v>77</v>
      </c>
      <c r="C42" s="2" t="s">
        <v>51</v>
      </c>
      <c r="D42" s="2" t="s">
        <v>20</v>
      </c>
      <c r="E42" s="2">
        <v>56</v>
      </c>
      <c r="F42" s="2" t="s">
        <v>45</v>
      </c>
      <c r="G42" s="2" t="s">
        <v>46</v>
      </c>
      <c r="H42" s="2" t="s">
        <v>178</v>
      </c>
      <c r="I42" s="2">
        <v>76395</v>
      </c>
      <c r="J42" s="2" t="s">
        <v>24</v>
      </c>
      <c r="K42" s="2" t="s">
        <v>179</v>
      </c>
      <c r="L42" s="2" t="s">
        <v>42</v>
      </c>
      <c r="M42" s="2" t="str">
        <f>VLOOKUP(F42,Departments!$A$1:$C$6,2,0)</f>
        <v>Marketing</v>
      </c>
      <c r="N42" s="2" t="str">
        <f>INDEX(Departments!$B$1:$B$6, MATCH(Employees!F42, Departments!$A$1:$A$6, 0))</f>
        <v>Marketing</v>
      </c>
      <c r="O42" s="3" t="str">
        <f>INDEX(Departments!$B$2:$B$6,MATCH(Employees!F42,Departments!$A$2:$A$6,0))</f>
        <v>Marketing</v>
      </c>
      <c r="P42" s="3">
        <f>INDEX(Performance!$C$2:$C$501,MATCH(Employees!A42,Performance!$A$2:$A$501,0))</f>
        <v>4</v>
      </c>
      <c r="Q42" s="4">
        <f t="shared" si="0"/>
        <v>7639.5</v>
      </c>
    </row>
    <row r="43" spans="1:17" hidden="1" x14ac:dyDescent="0.25">
      <c r="A43" s="2" t="s">
        <v>180</v>
      </c>
      <c r="B43" s="2" t="s">
        <v>50</v>
      </c>
      <c r="C43" s="2" t="s">
        <v>101</v>
      </c>
      <c r="D43" s="2" t="s">
        <v>29</v>
      </c>
      <c r="E43" s="2">
        <v>49</v>
      </c>
      <c r="F43" s="2" t="s">
        <v>37</v>
      </c>
      <c r="G43" s="2" t="s">
        <v>114</v>
      </c>
      <c r="H43" s="2" t="s">
        <v>181</v>
      </c>
      <c r="I43" s="2">
        <v>43701</v>
      </c>
      <c r="J43" s="2" t="s">
        <v>66</v>
      </c>
      <c r="K43" s="2" t="s">
        <v>182</v>
      </c>
      <c r="L43" s="2" t="s">
        <v>26</v>
      </c>
      <c r="M43" s="2" t="str">
        <f>VLOOKUP(F43,Departments!$A$1:$C$6,2,0)</f>
        <v>Sales</v>
      </c>
      <c r="N43" s="2" t="str">
        <f>INDEX(Departments!$B$1:$B$6, MATCH(Employees!F43, Departments!$A$1:$A$6, 0))</f>
        <v>Sales</v>
      </c>
      <c r="O43" s="3" t="str">
        <f>INDEX(Departments!$B$2:$B$6,MATCH(Employees!F43,Departments!$A$2:$A$6,0))</f>
        <v>Sales</v>
      </c>
      <c r="P43" s="3">
        <f>INDEX(Performance!$C$2:$C$501,MATCH(Employees!A43,Performance!$A$2:$A$501,0))</f>
        <v>3</v>
      </c>
      <c r="Q43" s="4">
        <f t="shared" si="0"/>
        <v>3059.07</v>
      </c>
    </row>
    <row r="44" spans="1:17" hidden="1" x14ac:dyDescent="0.25">
      <c r="A44" s="2" t="s">
        <v>183</v>
      </c>
      <c r="B44" s="2" t="s">
        <v>100</v>
      </c>
      <c r="C44" s="2" t="s">
        <v>136</v>
      </c>
      <c r="D44" s="2" t="s">
        <v>29</v>
      </c>
      <c r="E44" s="2">
        <v>32</v>
      </c>
      <c r="F44" s="2" t="s">
        <v>30</v>
      </c>
      <c r="G44" s="2" t="s">
        <v>22</v>
      </c>
      <c r="H44" s="2" t="s">
        <v>184</v>
      </c>
      <c r="I44" s="2">
        <v>85198</v>
      </c>
      <c r="J44" s="2" t="s">
        <v>66</v>
      </c>
      <c r="K44" s="2" t="s">
        <v>185</v>
      </c>
      <c r="L44" s="2" t="s">
        <v>26</v>
      </c>
      <c r="M44" s="2" t="str">
        <f>VLOOKUP(F44,Departments!$A$1:$C$6,2,0)</f>
        <v>IT</v>
      </c>
      <c r="N44" s="2" t="str">
        <f>INDEX(Departments!$B$1:$B$6, MATCH(Employees!F44, Departments!$A$1:$A$6, 0))</f>
        <v>IT</v>
      </c>
      <c r="O44" s="3" t="str">
        <f>INDEX(Departments!$B$2:$B$6,MATCH(Employees!F44,Departments!$A$2:$A$6,0))</f>
        <v>IT</v>
      </c>
      <c r="P44" s="3">
        <f>INDEX(Performance!$C$2:$C$501,MATCH(Employees!A44,Performance!$A$2:$A$501,0))</f>
        <v>5</v>
      </c>
      <c r="Q44" s="4">
        <f t="shared" si="0"/>
        <v>12779.699999999999</v>
      </c>
    </row>
    <row r="45" spans="1:17" hidden="1" x14ac:dyDescent="0.25">
      <c r="A45" s="2" t="s">
        <v>186</v>
      </c>
      <c r="B45" s="2" t="s">
        <v>18</v>
      </c>
      <c r="C45" s="2" t="s">
        <v>136</v>
      </c>
      <c r="D45" s="2" t="s">
        <v>20</v>
      </c>
      <c r="E45" s="2">
        <v>26</v>
      </c>
      <c r="F45" s="2" t="s">
        <v>21</v>
      </c>
      <c r="G45" s="2" t="s">
        <v>46</v>
      </c>
      <c r="H45" s="2" t="s">
        <v>187</v>
      </c>
      <c r="I45" s="2">
        <v>39451</v>
      </c>
      <c r="J45" s="2" t="s">
        <v>86</v>
      </c>
      <c r="K45" s="2" t="s">
        <v>188</v>
      </c>
      <c r="L45" s="2" t="s">
        <v>26</v>
      </c>
      <c r="M45" s="2" t="str">
        <f>VLOOKUP(F45,Departments!$A$1:$C$6,2,0)</f>
        <v>HR</v>
      </c>
      <c r="N45" s="2" t="str">
        <f>INDEX(Departments!$B$1:$B$6, MATCH(Employees!F45, Departments!$A$1:$A$6, 0))</f>
        <v>HR</v>
      </c>
      <c r="O45" s="3" t="str">
        <f>INDEX(Departments!$B$2:$B$6,MATCH(Employees!F45,Departments!$A$2:$A$6,0))</f>
        <v>HR</v>
      </c>
      <c r="P45" s="3">
        <f>INDEX(Performance!$C$2:$C$501,MATCH(Employees!A45,Performance!$A$2:$A$501,0))</f>
        <v>3</v>
      </c>
      <c r="Q45" s="4">
        <f t="shared" si="0"/>
        <v>2761.57</v>
      </c>
    </row>
    <row r="46" spans="1:17" hidden="1" x14ac:dyDescent="0.25">
      <c r="A46" s="2" t="s">
        <v>189</v>
      </c>
      <c r="B46" s="2" t="s">
        <v>149</v>
      </c>
      <c r="C46" s="2" t="s">
        <v>171</v>
      </c>
      <c r="D46" s="2" t="s">
        <v>20</v>
      </c>
      <c r="E46" s="2">
        <v>26</v>
      </c>
      <c r="F46" s="2" t="s">
        <v>37</v>
      </c>
      <c r="G46" s="2" t="s">
        <v>46</v>
      </c>
      <c r="H46" s="2" t="s">
        <v>190</v>
      </c>
      <c r="I46" s="2">
        <v>45087</v>
      </c>
      <c r="J46" s="2" t="s">
        <v>86</v>
      </c>
      <c r="K46" s="2" t="s">
        <v>191</v>
      </c>
      <c r="L46" s="2" t="s">
        <v>26</v>
      </c>
      <c r="M46" s="2" t="str">
        <f>VLOOKUP(F46,Departments!$A$1:$C$6,2,0)</f>
        <v>Sales</v>
      </c>
      <c r="N46" s="2" t="str">
        <f>INDEX(Departments!$B$1:$B$6, MATCH(Employees!F46, Departments!$A$1:$A$6, 0))</f>
        <v>Sales</v>
      </c>
      <c r="O46" s="3" t="str">
        <f>INDEX(Departments!$B$2:$B$6,MATCH(Employees!F46,Departments!$A$2:$A$6,0))</f>
        <v>Sales</v>
      </c>
      <c r="P46" s="3">
        <f>INDEX(Performance!$C$2:$C$501,MATCH(Employees!A46,Performance!$A$2:$A$501,0))</f>
        <v>1</v>
      </c>
      <c r="Q46" s="4">
        <f t="shared" si="0"/>
        <v>2254.35</v>
      </c>
    </row>
    <row r="47" spans="1:17" hidden="1" x14ac:dyDescent="0.25">
      <c r="A47" s="2" t="s">
        <v>192</v>
      </c>
      <c r="B47" s="2" t="s">
        <v>36</v>
      </c>
      <c r="C47" s="2" t="s">
        <v>101</v>
      </c>
      <c r="D47" s="2" t="s">
        <v>29</v>
      </c>
      <c r="E47" s="2">
        <v>26</v>
      </c>
      <c r="F47" s="2" t="s">
        <v>37</v>
      </c>
      <c r="G47" s="2" t="s">
        <v>22</v>
      </c>
      <c r="H47" s="2" t="s">
        <v>193</v>
      </c>
      <c r="I47" s="2">
        <v>38222</v>
      </c>
      <c r="J47" s="2" t="s">
        <v>71</v>
      </c>
      <c r="K47" s="2" t="s">
        <v>194</v>
      </c>
      <c r="L47" s="2" t="s">
        <v>42</v>
      </c>
      <c r="M47" s="2" t="str">
        <f>VLOOKUP(F47,Departments!$A$1:$C$6,2,0)</f>
        <v>Sales</v>
      </c>
      <c r="N47" s="2" t="str">
        <f>INDEX(Departments!$B$1:$B$6, MATCH(Employees!F47, Departments!$A$1:$A$6, 0))</f>
        <v>Sales</v>
      </c>
      <c r="O47" s="3" t="str">
        <f>INDEX(Departments!$B$2:$B$6,MATCH(Employees!F47,Departments!$A$2:$A$6,0))</f>
        <v>Sales</v>
      </c>
      <c r="P47" s="3">
        <f>INDEX(Performance!$C$2:$C$501,MATCH(Employees!A47,Performance!$A$2:$A$501,0))</f>
        <v>4</v>
      </c>
      <c r="Q47" s="4">
        <f t="shared" si="0"/>
        <v>3822.2000000000003</v>
      </c>
    </row>
    <row r="48" spans="1:17" hidden="1" x14ac:dyDescent="0.25">
      <c r="A48" s="2" t="s">
        <v>195</v>
      </c>
      <c r="B48" s="2" t="s">
        <v>77</v>
      </c>
      <c r="C48" s="2" t="s">
        <v>69</v>
      </c>
      <c r="D48" s="2" t="s">
        <v>20</v>
      </c>
      <c r="E48" s="2">
        <v>57</v>
      </c>
      <c r="F48" s="2" t="s">
        <v>30</v>
      </c>
      <c r="G48" s="2" t="s">
        <v>31</v>
      </c>
      <c r="H48" s="2" t="s">
        <v>196</v>
      </c>
      <c r="I48" s="2">
        <v>96188</v>
      </c>
      <c r="J48" s="2" t="s">
        <v>66</v>
      </c>
      <c r="K48" s="2" t="s">
        <v>197</v>
      </c>
      <c r="L48" s="2" t="s">
        <v>26</v>
      </c>
      <c r="M48" s="2" t="str">
        <f>VLOOKUP(F48,Departments!$A$1:$C$6,2,0)</f>
        <v>IT</v>
      </c>
      <c r="N48" s="2" t="str">
        <f>INDEX(Departments!$B$1:$B$6, MATCH(Employees!F48, Departments!$A$1:$A$6, 0))</f>
        <v>IT</v>
      </c>
      <c r="O48" s="3" t="str">
        <f>INDEX(Departments!$B$2:$B$6,MATCH(Employees!F48,Departments!$A$2:$A$6,0))</f>
        <v>IT</v>
      </c>
      <c r="P48" s="3">
        <f>INDEX(Performance!$C$2:$C$501,MATCH(Employees!A48,Performance!$A$2:$A$501,0))</f>
        <v>5</v>
      </c>
      <c r="Q48" s="4">
        <f t="shared" si="0"/>
        <v>14428.199999999999</v>
      </c>
    </row>
    <row r="49" spans="1:17" hidden="1" x14ac:dyDescent="0.25">
      <c r="A49" s="2" t="s">
        <v>198</v>
      </c>
      <c r="B49" s="2" t="s">
        <v>55</v>
      </c>
      <c r="C49" s="2" t="s">
        <v>89</v>
      </c>
      <c r="D49" s="2" t="s">
        <v>29</v>
      </c>
      <c r="E49" s="2">
        <v>32</v>
      </c>
      <c r="F49" s="2" t="s">
        <v>56</v>
      </c>
      <c r="G49" s="2" t="s">
        <v>22</v>
      </c>
      <c r="H49" s="2" t="s">
        <v>199</v>
      </c>
      <c r="I49" s="2">
        <v>106013</v>
      </c>
      <c r="J49" s="2" t="s">
        <v>86</v>
      </c>
      <c r="K49" s="2" t="s">
        <v>200</v>
      </c>
      <c r="L49" s="2" t="s">
        <v>26</v>
      </c>
      <c r="M49" s="2" t="str">
        <f>VLOOKUP(F49,Departments!$A$1:$C$6,2,0)</f>
        <v>Finance</v>
      </c>
      <c r="N49" s="2" t="str">
        <f>INDEX(Departments!$B$1:$B$6, MATCH(Employees!F49, Departments!$A$1:$A$6, 0))</f>
        <v>Finance</v>
      </c>
      <c r="O49" s="3" t="str">
        <f>INDEX(Departments!$B$2:$B$6,MATCH(Employees!F49,Departments!$A$2:$A$6,0))</f>
        <v>Finance</v>
      </c>
      <c r="P49" s="3">
        <f>INDEX(Performance!$C$2:$C$501,MATCH(Employees!A49,Performance!$A$2:$A$501,0))</f>
        <v>5</v>
      </c>
      <c r="Q49" s="4">
        <f t="shared" si="0"/>
        <v>15901.949999999999</v>
      </c>
    </row>
    <row r="50" spans="1:17" hidden="1" x14ac:dyDescent="0.25">
      <c r="A50" s="2" t="s">
        <v>201</v>
      </c>
      <c r="B50" s="2" t="s">
        <v>60</v>
      </c>
      <c r="C50" s="2" t="s">
        <v>101</v>
      </c>
      <c r="D50" s="2" t="s">
        <v>29</v>
      </c>
      <c r="E50" s="2">
        <v>52</v>
      </c>
      <c r="F50" s="2" t="s">
        <v>37</v>
      </c>
      <c r="G50" s="2" t="s">
        <v>31</v>
      </c>
      <c r="H50" s="2" t="s">
        <v>202</v>
      </c>
      <c r="I50" s="2">
        <v>82014</v>
      </c>
      <c r="J50" s="2" t="s">
        <v>24</v>
      </c>
      <c r="K50" s="2" t="s">
        <v>203</v>
      </c>
      <c r="L50" s="2" t="s">
        <v>26</v>
      </c>
      <c r="M50" s="2" t="str">
        <f>VLOOKUP(F50,Departments!$A$1:$C$6,2,0)</f>
        <v>Sales</v>
      </c>
      <c r="N50" s="2" t="str">
        <f>INDEX(Departments!$B$1:$B$6, MATCH(Employees!F50, Departments!$A$1:$A$6, 0))</f>
        <v>Sales</v>
      </c>
      <c r="O50" s="3" t="str">
        <f>INDEX(Departments!$B$2:$B$6,MATCH(Employees!F50,Departments!$A$2:$A$6,0))</f>
        <v>Sales</v>
      </c>
      <c r="P50" s="3">
        <f>INDEX(Performance!$C$2:$C$501,MATCH(Employees!A50,Performance!$A$2:$A$501,0))</f>
        <v>2</v>
      </c>
      <c r="Q50" s="4">
        <f t="shared" si="0"/>
        <v>4100.7</v>
      </c>
    </row>
    <row r="51" spans="1:17" hidden="1" x14ac:dyDescent="0.25">
      <c r="A51" s="2" t="s">
        <v>204</v>
      </c>
      <c r="B51" s="2" t="s">
        <v>44</v>
      </c>
      <c r="C51" s="2" t="s">
        <v>101</v>
      </c>
      <c r="D51" s="2" t="s">
        <v>29</v>
      </c>
      <c r="E51" s="2">
        <v>46</v>
      </c>
      <c r="F51" s="2" t="s">
        <v>37</v>
      </c>
      <c r="G51" s="2" t="s">
        <v>46</v>
      </c>
      <c r="H51" s="2" t="s">
        <v>130</v>
      </c>
      <c r="I51" s="2">
        <v>84323</v>
      </c>
      <c r="J51" s="2" t="s">
        <v>40</v>
      </c>
      <c r="K51" s="2" t="s">
        <v>205</v>
      </c>
      <c r="L51" s="2" t="s">
        <v>26</v>
      </c>
      <c r="M51" s="2" t="str">
        <f>VLOOKUP(F51,Departments!$A$1:$C$6,2,0)</f>
        <v>Sales</v>
      </c>
      <c r="N51" s="2" t="str">
        <f>INDEX(Departments!$B$1:$B$6, MATCH(Employees!F51, Departments!$A$1:$A$6, 0))</f>
        <v>Sales</v>
      </c>
      <c r="O51" s="3" t="str">
        <f>INDEX(Departments!$B$2:$B$6,MATCH(Employees!F51,Departments!$A$2:$A$6,0))</f>
        <v>Sales</v>
      </c>
      <c r="P51" s="3">
        <f>INDEX(Performance!$C$2:$C$501,MATCH(Employees!A51,Performance!$A$2:$A$501,0))</f>
        <v>1</v>
      </c>
      <c r="Q51" s="4">
        <f t="shared" si="0"/>
        <v>4216.1500000000005</v>
      </c>
    </row>
    <row r="52" spans="1:17" hidden="1" x14ac:dyDescent="0.25">
      <c r="A52" s="2" t="s">
        <v>206</v>
      </c>
      <c r="B52" s="2" t="s">
        <v>64</v>
      </c>
      <c r="C52" s="2" t="s">
        <v>69</v>
      </c>
      <c r="D52" s="2" t="s">
        <v>20</v>
      </c>
      <c r="E52" s="2">
        <v>42</v>
      </c>
      <c r="F52" s="2" t="s">
        <v>21</v>
      </c>
      <c r="G52" s="2" t="s">
        <v>22</v>
      </c>
      <c r="H52" s="2" t="s">
        <v>207</v>
      </c>
      <c r="I52" s="2">
        <v>93289</v>
      </c>
      <c r="J52" s="2" t="s">
        <v>71</v>
      </c>
      <c r="K52" s="2" t="s">
        <v>208</v>
      </c>
      <c r="L52" s="2" t="s">
        <v>42</v>
      </c>
      <c r="M52" s="2" t="str">
        <f>VLOOKUP(F52,Departments!$A$1:$C$6,2,0)</f>
        <v>HR</v>
      </c>
      <c r="N52" s="2" t="str">
        <f>INDEX(Departments!$B$1:$B$6, MATCH(Employees!F52, Departments!$A$1:$A$6, 0))</f>
        <v>HR</v>
      </c>
      <c r="O52" s="3" t="str">
        <f>INDEX(Departments!$B$2:$B$6,MATCH(Employees!F52,Departments!$A$2:$A$6,0))</f>
        <v>HR</v>
      </c>
      <c r="P52" s="3">
        <f>INDEX(Performance!$C$2:$C$501,MATCH(Employees!A52,Performance!$A$2:$A$501,0))</f>
        <v>5</v>
      </c>
      <c r="Q52" s="4">
        <f t="shared" si="0"/>
        <v>13993.35</v>
      </c>
    </row>
    <row r="53" spans="1:17" hidden="1" x14ac:dyDescent="0.25">
      <c r="A53" s="2" t="s">
        <v>209</v>
      </c>
      <c r="B53" s="2" t="s">
        <v>44</v>
      </c>
      <c r="C53" s="2" t="s">
        <v>136</v>
      </c>
      <c r="D53" s="2" t="s">
        <v>20</v>
      </c>
      <c r="E53" s="2">
        <v>46</v>
      </c>
      <c r="F53" s="2" t="s">
        <v>45</v>
      </c>
      <c r="G53" s="2" t="s">
        <v>46</v>
      </c>
      <c r="H53" s="2" t="s">
        <v>210</v>
      </c>
      <c r="I53" s="2">
        <v>43926</v>
      </c>
      <c r="J53" s="2" t="s">
        <v>86</v>
      </c>
      <c r="K53" s="2" t="s">
        <v>211</v>
      </c>
      <c r="L53" s="2" t="s">
        <v>42</v>
      </c>
      <c r="M53" s="2" t="str">
        <f>VLOOKUP(F53,Departments!$A$1:$C$6,2,0)</f>
        <v>Marketing</v>
      </c>
      <c r="N53" s="2" t="str">
        <f>INDEX(Departments!$B$1:$B$6, MATCH(Employees!F53, Departments!$A$1:$A$6, 0))</f>
        <v>Marketing</v>
      </c>
      <c r="O53" s="3" t="str">
        <f>INDEX(Departments!$B$2:$B$6,MATCH(Employees!F53,Departments!$A$2:$A$6,0))</f>
        <v>Marketing</v>
      </c>
      <c r="P53" s="3">
        <f>INDEX(Performance!$C$2:$C$501,MATCH(Employees!A53,Performance!$A$2:$A$501,0))</f>
        <v>4</v>
      </c>
      <c r="Q53" s="4">
        <f t="shared" si="0"/>
        <v>4392.6000000000004</v>
      </c>
    </row>
    <row r="54" spans="1:17" hidden="1" x14ac:dyDescent="0.25">
      <c r="A54" s="2" t="s">
        <v>212</v>
      </c>
      <c r="B54" s="2" t="s">
        <v>36</v>
      </c>
      <c r="C54" s="2" t="s">
        <v>28</v>
      </c>
      <c r="D54" s="2" t="s">
        <v>29</v>
      </c>
      <c r="E54" s="2">
        <v>57</v>
      </c>
      <c r="F54" s="2" t="s">
        <v>21</v>
      </c>
      <c r="G54" s="2" t="s">
        <v>38</v>
      </c>
      <c r="H54" s="2" t="s">
        <v>213</v>
      </c>
      <c r="I54" s="2">
        <v>102761</v>
      </c>
      <c r="J54" s="2" t="s">
        <v>71</v>
      </c>
      <c r="K54" s="2" t="s">
        <v>214</v>
      </c>
      <c r="L54" s="2" t="s">
        <v>42</v>
      </c>
      <c r="M54" s="2" t="str">
        <f>VLOOKUP(F54,Departments!$A$1:$C$6,2,0)</f>
        <v>HR</v>
      </c>
      <c r="N54" s="2" t="str">
        <f>INDEX(Departments!$B$1:$B$6, MATCH(Employees!F54, Departments!$A$1:$A$6, 0))</f>
        <v>HR</v>
      </c>
      <c r="O54" s="3" t="str">
        <f>INDEX(Departments!$B$2:$B$6,MATCH(Employees!F54,Departments!$A$2:$A$6,0))</f>
        <v>HR</v>
      </c>
      <c r="P54" s="3">
        <f>INDEX(Performance!$C$2:$C$501,MATCH(Employees!A54,Performance!$A$2:$A$501,0))</f>
        <v>4</v>
      </c>
      <c r="Q54" s="4">
        <f t="shared" si="0"/>
        <v>10276.1</v>
      </c>
    </row>
    <row r="55" spans="1:17" hidden="1" x14ac:dyDescent="0.25">
      <c r="A55" s="2" t="s">
        <v>215</v>
      </c>
      <c r="B55" s="2" t="s">
        <v>100</v>
      </c>
      <c r="C55" s="2" t="s">
        <v>101</v>
      </c>
      <c r="D55" s="2" t="s">
        <v>29</v>
      </c>
      <c r="E55" s="2">
        <v>58</v>
      </c>
      <c r="F55" s="2" t="s">
        <v>56</v>
      </c>
      <c r="G55" s="2" t="s">
        <v>114</v>
      </c>
      <c r="H55" s="2" t="s">
        <v>216</v>
      </c>
      <c r="I55" s="2">
        <v>109960</v>
      </c>
      <c r="J55" s="2" t="s">
        <v>71</v>
      </c>
      <c r="K55" s="2" t="s">
        <v>217</v>
      </c>
      <c r="L55" s="2" t="s">
        <v>42</v>
      </c>
      <c r="M55" s="2" t="str">
        <f>VLOOKUP(F55,Departments!$A$1:$C$6,2,0)</f>
        <v>Finance</v>
      </c>
      <c r="N55" s="2" t="str">
        <f>INDEX(Departments!$B$1:$B$6, MATCH(Employees!F55, Departments!$A$1:$A$6, 0))</f>
        <v>Finance</v>
      </c>
      <c r="O55" s="3" t="str">
        <f>INDEX(Departments!$B$2:$B$6,MATCH(Employees!F55,Departments!$A$2:$A$6,0))</f>
        <v>Finance</v>
      </c>
      <c r="P55" s="3">
        <f>INDEX(Performance!$C$2:$C$501,MATCH(Employees!A55,Performance!$A$2:$A$501,0))</f>
        <v>2</v>
      </c>
      <c r="Q55" s="4">
        <f t="shared" si="0"/>
        <v>5498</v>
      </c>
    </row>
    <row r="56" spans="1:17" hidden="1" x14ac:dyDescent="0.25">
      <c r="A56" s="2" t="s">
        <v>218</v>
      </c>
      <c r="B56" s="2" t="s">
        <v>77</v>
      </c>
      <c r="C56" s="2" t="s">
        <v>171</v>
      </c>
      <c r="D56" s="2" t="s">
        <v>29</v>
      </c>
      <c r="E56" s="2">
        <v>42</v>
      </c>
      <c r="F56" s="2" t="s">
        <v>56</v>
      </c>
      <c r="G56" s="2" t="s">
        <v>31</v>
      </c>
      <c r="H56" s="2" t="s">
        <v>219</v>
      </c>
      <c r="I56" s="2">
        <v>83308</v>
      </c>
      <c r="J56" s="2" t="s">
        <v>66</v>
      </c>
      <c r="K56" s="2" t="s">
        <v>220</v>
      </c>
      <c r="L56" s="2" t="s">
        <v>42</v>
      </c>
      <c r="M56" s="2" t="str">
        <f>VLOOKUP(F56,Departments!$A$1:$C$6,2,0)</f>
        <v>Finance</v>
      </c>
      <c r="N56" s="2" t="str">
        <f>INDEX(Departments!$B$1:$B$6, MATCH(Employees!F56, Departments!$A$1:$A$6, 0))</f>
        <v>Finance</v>
      </c>
      <c r="O56" s="3" t="str">
        <f>INDEX(Departments!$B$2:$B$6,MATCH(Employees!F56,Departments!$A$2:$A$6,0))</f>
        <v>Finance</v>
      </c>
      <c r="P56" s="3">
        <f>INDEX(Performance!$C$2:$C$501,MATCH(Employees!A56,Performance!$A$2:$A$501,0))</f>
        <v>1</v>
      </c>
      <c r="Q56" s="4">
        <f t="shared" si="0"/>
        <v>4165.4000000000005</v>
      </c>
    </row>
    <row r="57" spans="1:17" hidden="1" x14ac:dyDescent="0.25">
      <c r="A57" s="2" t="s">
        <v>221</v>
      </c>
      <c r="B57" s="2" t="s">
        <v>77</v>
      </c>
      <c r="C57" s="2" t="s">
        <v>51</v>
      </c>
      <c r="D57" s="2" t="s">
        <v>29</v>
      </c>
      <c r="E57" s="2">
        <v>26</v>
      </c>
      <c r="F57" s="2" t="s">
        <v>56</v>
      </c>
      <c r="G57" s="2" t="s">
        <v>114</v>
      </c>
      <c r="H57" s="2" t="s">
        <v>222</v>
      </c>
      <c r="I57" s="2">
        <v>44078</v>
      </c>
      <c r="J57" s="2" t="s">
        <v>71</v>
      </c>
      <c r="K57" s="2" t="s">
        <v>223</v>
      </c>
      <c r="L57" s="2" t="s">
        <v>42</v>
      </c>
      <c r="M57" s="2" t="str">
        <f>VLOOKUP(F57,Departments!$A$1:$C$6,2,0)</f>
        <v>Finance</v>
      </c>
      <c r="N57" s="2" t="str">
        <f>INDEX(Departments!$B$1:$B$6, MATCH(Employees!F57, Departments!$A$1:$A$6, 0))</f>
        <v>Finance</v>
      </c>
      <c r="O57" s="3" t="str">
        <f>INDEX(Departments!$B$2:$B$6,MATCH(Employees!F57,Departments!$A$2:$A$6,0))</f>
        <v>Finance</v>
      </c>
      <c r="P57" s="3">
        <f>INDEX(Performance!$C$2:$C$501,MATCH(Employees!A57,Performance!$A$2:$A$501,0))</f>
        <v>3</v>
      </c>
      <c r="Q57" s="4">
        <f t="shared" si="0"/>
        <v>3085.4600000000005</v>
      </c>
    </row>
    <row r="58" spans="1:17" hidden="1" x14ac:dyDescent="0.25">
      <c r="A58" s="2" t="s">
        <v>224</v>
      </c>
      <c r="B58" s="2" t="s">
        <v>36</v>
      </c>
      <c r="C58" s="2" t="s">
        <v>69</v>
      </c>
      <c r="D58" s="2" t="s">
        <v>29</v>
      </c>
      <c r="E58" s="2">
        <v>32</v>
      </c>
      <c r="F58" s="2" t="s">
        <v>21</v>
      </c>
      <c r="G58" s="2" t="s">
        <v>31</v>
      </c>
      <c r="H58" s="2" t="s">
        <v>225</v>
      </c>
      <c r="I58" s="2">
        <v>60444</v>
      </c>
      <c r="J58" s="2" t="s">
        <v>71</v>
      </c>
      <c r="K58" s="2" t="s">
        <v>226</v>
      </c>
      <c r="L58" s="2" t="s">
        <v>42</v>
      </c>
      <c r="M58" s="2" t="str">
        <f>VLOOKUP(F58,Departments!$A$1:$C$6,2,0)</f>
        <v>HR</v>
      </c>
      <c r="N58" s="2" t="str">
        <f>INDEX(Departments!$B$1:$B$6, MATCH(Employees!F58, Departments!$A$1:$A$6, 0))</f>
        <v>HR</v>
      </c>
      <c r="O58" s="3" t="str">
        <f>INDEX(Departments!$B$2:$B$6,MATCH(Employees!F58,Departments!$A$2:$A$6,0))</f>
        <v>HR</v>
      </c>
      <c r="P58" s="3">
        <f>INDEX(Performance!$C$2:$C$501,MATCH(Employees!A58,Performance!$A$2:$A$501,0))</f>
        <v>4</v>
      </c>
      <c r="Q58" s="4">
        <f t="shared" si="0"/>
        <v>6044.4000000000005</v>
      </c>
    </row>
    <row r="59" spans="1:17" hidden="1" x14ac:dyDescent="0.25">
      <c r="A59" s="2" t="s">
        <v>227</v>
      </c>
      <c r="B59" s="2" t="s">
        <v>64</v>
      </c>
      <c r="C59" s="2" t="s">
        <v>84</v>
      </c>
      <c r="D59" s="2" t="s">
        <v>29</v>
      </c>
      <c r="E59" s="2">
        <v>26</v>
      </c>
      <c r="F59" s="2" t="s">
        <v>37</v>
      </c>
      <c r="G59" s="2" t="s">
        <v>31</v>
      </c>
      <c r="H59" s="2" t="s">
        <v>228</v>
      </c>
      <c r="I59" s="2">
        <v>37951</v>
      </c>
      <c r="J59" s="2" t="s">
        <v>40</v>
      </c>
      <c r="K59" s="2" t="s">
        <v>229</v>
      </c>
      <c r="L59" s="2" t="s">
        <v>42</v>
      </c>
      <c r="M59" s="2" t="str">
        <f>VLOOKUP(F59,Departments!$A$1:$C$6,2,0)</f>
        <v>Sales</v>
      </c>
      <c r="N59" s="2" t="str">
        <f>INDEX(Departments!$B$1:$B$6, MATCH(Employees!F59, Departments!$A$1:$A$6, 0))</f>
        <v>Sales</v>
      </c>
      <c r="O59" s="3" t="str">
        <f>INDEX(Departments!$B$2:$B$6,MATCH(Employees!F59,Departments!$A$2:$A$6,0))</f>
        <v>Sales</v>
      </c>
      <c r="P59" s="3">
        <f>INDEX(Performance!$C$2:$C$501,MATCH(Employees!A59,Performance!$A$2:$A$501,0))</f>
        <v>2</v>
      </c>
      <c r="Q59" s="4">
        <f t="shared" si="0"/>
        <v>1897.5500000000002</v>
      </c>
    </row>
    <row r="60" spans="1:17" hidden="1" x14ac:dyDescent="0.25">
      <c r="A60" s="2" t="s">
        <v>230</v>
      </c>
      <c r="B60" s="2" t="s">
        <v>77</v>
      </c>
      <c r="C60" s="2" t="s">
        <v>136</v>
      </c>
      <c r="D60" s="2" t="s">
        <v>29</v>
      </c>
      <c r="E60" s="2">
        <v>36</v>
      </c>
      <c r="F60" s="2" t="s">
        <v>56</v>
      </c>
      <c r="G60" s="2" t="s">
        <v>31</v>
      </c>
      <c r="H60" s="2" t="s">
        <v>231</v>
      </c>
      <c r="I60" s="2">
        <v>88790</v>
      </c>
      <c r="J60" s="2" t="s">
        <v>86</v>
      </c>
      <c r="K60" s="2" t="s">
        <v>232</v>
      </c>
      <c r="L60" s="2" t="s">
        <v>42</v>
      </c>
      <c r="M60" s="2" t="str">
        <f>VLOOKUP(F60,Departments!$A$1:$C$6,2,0)</f>
        <v>Finance</v>
      </c>
      <c r="N60" s="2" t="str">
        <f>INDEX(Departments!$B$1:$B$6, MATCH(Employees!F60, Departments!$A$1:$A$6, 0))</f>
        <v>Finance</v>
      </c>
      <c r="O60" s="3" t="str">
        <f>INDEX(Departments!$B$2:$B$6,MATCH(Employees!F60,Departments!$A$2:$A$6,0))</f>
        <v>Finance</v>
      </c>
      <c r="P60" s="3">
        <f>INDEX(Performance!$C$2:$C$501,MATCH(Employees!A60,Performance!$A$2:$A$501,0))</f>
        <v>3</v>
      </c>
      <c r="Q60" s="4">
        <f t="shared" si="0"/>
        <v>6215.3</v>
      </c>
    </row>
    <row r="61" spans="1:17" hidden="1" x14ac:dyDescent="0.25">
      <c r="A61" s="2" t="s">
        <v>233</v>
      </c>
      <c r="B61" s="2" t="s">
        <v>44</v>
      </c>
      <c r="C61" s="2" t="s">
        <v>69</v>
      </c>
      <c r="D61" s="2" t="s">
        <v>29</v>
      </c>
      <c r="E61" s="2">
        <v>50</v>
      </c>
      <c r="F61" s="2" t="s">
        <v>56</v>
      </c>
      <c r="G61" s="2" t="s">
        <v>38</v>
      </c>
      <c r="H61" s="2" t="s">
        <v>234</v>
      </c>
      <c r="I61" s="2">
        <v>119530</v>
      </c>
      <c r="J61" s="2" t="s">
        <v>24</v>
      </c>
      <c r="K61" s="2" t="s">
        <v>235</v>
      </c>
      <c r="L61" s="2" t="s">
        <v>42</v>
      </c>
      <c r="M61" s="2" t="str">
        <f>VLOOKUP(F61,Departments!$A$1:$C$6,2,0)</f>
        <v>Finance</v>
      </c>
      <c r="N61" s="2" t="str">
        <f>INDEX(Departments!$B$1:$B$6, MATCH(Employees!F61, Departments!$A$1:$A$6, 0))</f>
        <v>Finance</v>
      </c>
      <c r="O61" s="3" t="str">
        <f>INDEX(Departments!$B$2:$B$6,MATCH(Employees!F61,Departments!$A$2:$A$6,0))</f>
        <v>Finance</v>
      </c>
      <c r="P61" s="3">
        <f>INDEX(Performance!$C$2:$C$501,MATCH(Employees!A61,Performance!$A$2:$A$501,0))</f>
        <v>3</v>
      </c>
      <c r="Q61" s="4">
        <f t="shared" si="0"/>
        <v>8367.1</v>
      </c>
    </row>
    <row r="62" spans="1:17" hidden="1" x14ac:dyDescent="0.25">
      <c r="A62" s="2" t="s">
        <v>236</v>
      </c>
      <c r="B62" s="2" t="s">
        <v>149</v>
      </c>
      <c r="C62" s="2" t="s">
        <v>84</v>
      </c>
      <c r="D62" s="2" t="s">
        <v>20</v>
      </c>
      <c r="E62" s="2">
        <v>30</v>
      </c>
      <c r="F62" s="2" t="s">
        <v>21</v>
      </c>
      <c r="G62" s="2" t="s">
        <v>114</v>
      </c>
      <c r="H62" s="2" t="s">
        <v>237</v>
      </c>
      <c r="I62" s="2">
        <v>72048</v>
      </c>
      <c r="J62" s="2" t="s">
        <v>71</v>
      </c>
      <c r="K62" s="2" t="s">
        <v>238</v>
      </c>
      <c r="L62" s="2" t="s">
        <v>42</v>
      </c>
      <c r="M62" s="2" t="str">
        <f>VLOOKUP(F62,Departments!$A$1:$C$6,2,0)</f>
        <v>HR</v>
      </c>
      <c r="N62" s="2" t="str">
        <f>INDEX(Departments!$B$1:$B$6, MATCH(Employees!F62, Departments!$A$1:$A$6, 0))</f>
        <v>HR</v>
      </c>
      <c r="O62" s="3" t="str">
        <f>INDEX(Departments!$B$2:$B$6,MATCH(Employees!F62,Departments!$A$2:$A$6,0))</f>
        <v>HR</v>
      </c>
      <c r="P62" s="3">
        <f>INDEX(Performance!$C$2:$C$501,MATCH(Employees!A62,Performance!$A$2:$A$501,0))</f>
        <v>4</v>
      </c>
      <c r="Q62" s="4">
        <f t="shared" si="0"/>
        <v>7204.8</v>
      </c>
    </row>
    <row r="63" spans="1:17" hidden="1" x14ac:dyDescent="0.25">
      <c r="A63" s="2" t="s">
        <v>239</v>
      </c>
      <c r="B63" s="2" t="s">
        <v>60</v>
      </c>
      <c r="C63" s="2" t="s">
        <v>96</v>
      </c>
      <c r="D63" s="2" t="s">
        <v>29</v>
      </c>
      <c r="E63" s="2">
        <v>33</v>
      </c>
      <c r="F63" s="2" t="s">
        <v>37</v>
      </c>
      <c r="G63" s="2" t="s">
        <v>38</v>
      </c>
      <c r="H63" s="2" t="s">
        <v>240</v>
      </c>
      <c r="I63" s="2">
        <v>76700</v>
      </c>
      <c r="J63" s="2" t="s">
        <v>66</v>
      </c>
      <c r="K63" s="2" t="s">
        <v>241</v>
      </c>
      <c r="L63" s="2" t="s">
        <v>42</v>
      </c>
      <c r="M63" s="2" t="str">
        <f>VLOOKUP(F63,Departments!$A$1:$C$6,2,0)</f>
        <v>Sales</v>
      </c>
      <c r="N63" s="2" t="str">
        <f>INDEX(Departments!$B$1:$B$6, MATCH(Employees!F63, Departments!$A$1:$A$6, 0))</f>
        <v>Sales</v>
      </c>
      <c r="O63" s="3" t="str">
        <f>INDEX(Departments!$B$2:$B$6,MATCH(Employees!F63,Departments!$A$2:$A$6,0))</f>
        <v>Sales</v>
      </c>
      <c r="P63" s="3">
        <f>INDEX(Performance!$C$2:$C$501,MATCH(Employees!A63,Performance!$A$2:$A$501,0))</f>
        <v>5</v>
      </c>
      <c r="Q63" s="4">
        <f t="shared" si="0"/>
        <v>11505</v>
      </c>
    </row>
    <row r="64" spans="1:17" hidden="1" x14ac:dyDescent="0.25">
      <c r="A64" s="2" t="s">
        <v>242</v>
      </c>
      <c r="B64" s="2" t="s">
        <v>77</v>
      </c>
      <c r="C64" s="2" t="s">
        <v>136</v>
      </c>
      <c r="D64" s="2" t="s">
        <v>29</v>
      </c>
      <c r="E64" s="2">
        <v>22</v>
      </c>
      <c r="F64" s="2" t="s">
        <v>21</v>
      </c>
      <c r="G64" s="2" t="s">
        <v>46</v>
      </c>
      <c r="H64" s="2" t="s">
        <v>243</v>
      </c>
      <c r="I64" s="2">
        <v>86315</v>
      </c>
      <c r="J64" s="2" t="s">
        <v>66</v>
      </c>
      <c r="K64" s="2" t="s">
        <v>244</v>
      </c>
      <c r="L64" s="2" t="s">
        <v>42</v>
      </c>
      <c r="M64" s="2" t="str">
        <f>VLOOKUP(F64,Departments!$A$1:$C$6,2,0)</f>
        <v>HR</v>
      </c>
      <c r="N64" s="2" t="str">
        <f>INDEX(Departments!$B$1:$B$6, MATCH(Employees!F64, Departments!$A$1:$A$6, 0))</f>
        <v>HR</v>
      </c>
      <c r="O64" s="3" t="str">
        <f>INDEX(Departments!$B$2:$B$6,MATCH(Employees!F64,Departments!$A$2:$A$6,0))</f>
        <v>HR</v>
      </c>
      <c r="P64" s="3">
        <f>INDEX(Performance!$C$2:$C$501,MATCH(Employees!A64,Performance!$A$2:$A$501,0))</f>
        <v>1</v>
      </c>
      <c r="Q64" s="4">
        <f t="shared" si="0"/>
        <v>4315.75</v>
      </c>
    </row>
    <row r="65" spans="1:17" hidden="1" x14ac:dyDescent="0.25">
      <c r="A65" s="2" t="s">
        <v>245</v>
      </c>
      <c r="B65" s="2" t="s">
        <v>44</v>
      </c>
      <c r="C65" s="2" t="s">
        <v>89</v>
      </c>
      <c r="D65" s="2" t="s">
        <v>20</v>
      </c>
      <c r="E65" s="2">
        <v>49</v>
      </c>
      <c r="F65" s="2" t="s">
        <v>56</v>
      </c>
      <c r="G65" s="2" t="s">
        <v>38</v>
      </c>
      <c r="H65" s="2" t="s">
        <v>246</v>
      </c>
      <c r="I65" s="2">
        <v>85454</v>
      </c>
      <c r="J65" s="2" t="s">
        <v>40</v>
      </c>
      <c r="K65" s="2" t="s">
        <v>247</v>
      </c>
      <c r="L65" s="2" t="s">
        <v>26</v>
      </c>
      <c r="M65" s="2" t="str">
        <f>VLOOKUP(F65,Departments!$A$1:$C$6,2,0)</f>
        <v>Finance</v>
      </c>
      <c r="N65" s="2" t="str">
        <f>INDEX(Departments!$B$1:$B$6, MATCH(Employees!F65, Departments!$A$1:$A$6, 0))</f>
        <v>Finance</v>
      </c>
      <c r="O65" s="3" t="str">
        <f>INDEX(Departments!$B$2:$B$6,MATCH(Employees!F65,Departments!$A$2:$A$6,0))</f>
        <v>Finance</v>
      </c>
      <c r="P65" s="3">
        <f>INDEX(Performance!$C$2:$C$501,MATCH(Employees!A65,Performance!$A$2:$A$501,0))</f>
        <v>3</v>
      </c>
      <c r="Q65" s="4">
        <f t="shared" si="0"/>
        <v>5981.7800000000007</v>
      </c>
    </row>
    <row r="66" spans="1:17" hidden="1" x14ac:dyDescent="0.25">
      <c r="A66" s="2" t="s">
        <v>248</v>
      </c>
      <c r="B66" s="2" t="s">
        <v>36</v>
      </c>
      <c r="C66" s="2" t="s">
        <v>96</v>
      </c>
      <c r="D66" s="2" t="s">
        <v>29</v>
      </c>
      <c r="E66" s="2">
        <v>31</v>
      </c>
      <c r="F66" s="2" t="s">
        <v>21</v>
      </c>
      <c r="G66" s="2" t="s">
        <v>38</v>
      </c>
      <c r="H66" s="2" t="s">
        <v>249</v>
      </c>
      <c r="I66" s="2">
        <v>83281</v>
      </c>
      <c r="J66" s="2" t="s">
        <v>66</v>
      </c>
      <c r="K66" s="2" t="s">
        <v>250</v>
      </c>
      <c r="L66" s="2" t="s">
        <v>42</v>
      </c>
      <c r="M66" s="2" t="str">
        <f>VLOOKUP(F66,Departments!$A$1:$C$6,2,0)</f>
        <v>HR</v>
      </c>
      <c r="N66" s="2" t="str">
        <f>INDEX(Departments!$B$1:$B$6, MATCH(Employees!F66, Departments!$A$1:$A$6, 0))</f>
        <v>HR</v>
      </c>
      <c r="O66" s="3" t="str">
        <f>INDEX(Departments!$B$2:$B$6,MATCH(Employees!F66,Departments!$A$2:$A$6,0))</f>
        <v>HR</v>
      </c>
      <c r="P66" s="3">
        <f>INDEX(Performance!$C$2:$C$501,MATCH(Employees!A66,Performance!$A$2:$A$501,0))</f>
        <v>3</v>
      </c>
      <c r="Q66" s="4">
        <f t="shared" ref="Q66:Q129" si="1">IF(P66=5,I66*0.15,IF(P66=4,I66*0.1,IF(P66=3,I66*0.07,IF(P66&lt;3,I66*0.05,0))))</f>
        <v>5829.670000000001</v>
      </c>
    </row>
    <row r="67" spans="1:17" hidden="1" x14ac:dyDescent="0.25">
      <c r="A67" s="2" t="s">
        <v>251</v>
      </c>
      <c r="B67" s="2" t="s">
        <v>64</v>
      </c>
      <c r="C67" s="2" t="s">
        <v>171</v>
      </c>
      <c r="D67" s="2" t="s">
        <v>20</v>
      </c>
      <c r="E67" s="2">
        <v>31</v>
      </c>
      <c r="F67" s="2" t="s">
        <v>21</v>
      </c>
      <c r="G67" s="2" t="s">
        <v>46</v>
      </c>
      <c r="H67" s="2" t="s">
        <v>252</v>
      </c>
      <c r="I67" s="2">
        <v>44531</v>
      </c>
      <c r="J67" s="2" t="s">
        <v>40</v>
      </c>
      <c r="K67" s="2" t="s">
        <v>253</v>
      </c>
      <c r="L67" s="2" t="s">
        <v>26</v>
      </c>
      <c r="M67" s="2" t="str">
        <f>VLOOKUP(F67,Departments!$A$1:$C$6,2,0)</f>
        <v>HR</v>
      </c>
      <c r="N67" s="2" t="str">
        <f>INDEX(Departments!$B$1:$B$6, MATCH(Employees!F67, Departments!$A$1:$A$6, 0))</f>
        <v>HR</v>
      </c>
      <c r="O67" s="3" t="str">
        <f>INDEX(Departments!$B$2:$B$6,MATCH(Employees!F67,Departments!$A$2:$A$6,0))</f>
        <v>HR</v>
      </c>
      <c r="P67" s="3">
        <f>INDEX(Performance!$C$2:$C$501,MATCH(Employees!A67,Performance!$A$2:$A$501,0))</f>
        <v>5</v>
      </c>
      <c r="Q67" s="4">
        <f t="shared" si="1"/>
        <v>6679.65</v>
      </c>
    </row>
    <row r="68" spans="1:17" hidden="1" x14ac:dyDescent="0.25">
      <c r="A68" s="2" t="s">
        <v>254</v>
      </c>
      <c r="B68" s="2" t="s">
        <v>44</v>
      </c>
      <c r="C68" s="2" t="s">
        <v>136</v>
      </c>
      <c r="D68" s="2" t="s">
        <v>29</v>
      </c>
      <c r="E68" s="2">
        <v>36</v>
      </c>
      <c r="F68" s="2" t="s">
        <v>37</v>
      </c>
      <c r="G68" s="2" t="s">
        <v>22</v>
      </c>
      <c r="H68" s="2" t="s">
        <v>255</v>
      </c>
      <c r="I68" s="2">
        <v>44990</v>
      </c>
      <c r="J68" s="2" t="s">
        <v>86</v>
      </c>
      <c r="K68" s="2" t="s">
        <v>256</v>
      </c>
      <c r="L68" s="2" t="s">
        <v>26</v>
      </c>
      <c r="M68" s="2" t="str">
        <f>VLOOKUP(F68,Departments!$A$1:$C$6,2,0)</f>
        <v>Sales</v>
      </c>
      <c r="N68" s="2" t="str">
        <f>INDEX(Departments!$B$1:$B$6, MATCH(Employees!F68, Departments!$A$1:$A$6, 0))</f>
        <v>Sales</v>
      </c>
      <c r="O68" s="3" t="str">
        <f>INDEX(Departments!$B$2:$B$6,MATCH(Employees!F68,Departments!$A$2:$A$6,0))</f>
        <v>Sales</v>
      </c>
      <c r="P68" s="3">
        <f>INDEX(Performance!$C$2:$C$501,MATCH(Employees!A68,Performance!$A$2:$A$501,0))</f>
        <v>3</v>
      </c>
      <c r="Q68" s="4">
        <f t="shared" si="1"/>
        <v>3149.3</v>
      </c>
    </row>
    <row r="69" spans="1:17" hidden="1" x14ac:dyDescent="0.25">
      <c r="A69" s="2" t="s">
        <v>257</v>
      </c>
      <c r="B69" s="2" t="s">
        <v>50</v>
      </c>
      <c r="C69" s="2" t="s">
        <v>28</v>
      </c>
      <c r="D69" s="2" t="s">
        <v>20</v>
      </c>
      <c r="E69" s="2">
        <v>34</v>
      </c>
      <c r="F69" s="2" t="s">
        <v>21</v>
      </c>
      <c r="G69" s="2" t="s">
        <v>38</v>
      </c>
      <c r="H69" s="2" t="s">
        <v>258</v>
      </c>
      <c r="I69" s="2">
        <v>39110</v>
      </c>
      <c r="J69" s="2" t="s">
        <v>40</v>
      </c>
      <c r="K69" s="2" t="s">
        <v>259</v>
      </c>
      <c r="L69" s="2" t="s">
        <v>42</v>
      </c>
      <c r="M69" s="2" t="str">
        <f>VLOOKUP(F69,Departments!$A$1:$C$6,2,0)</f>
        <v>HR</v>
      </c>
      <c r="N69" s="2" t="str">
        <f>INDEX(Departments!$B$1:$B$6, MATCH(Employees!F69, Departments!$A$1:$A$6, 0))</f>
        <v>HR</v>
      </c>
      <c r="O69" s="3" t="str">
        <f>INDEX(Departments!$B$2:$B$6,MATCH(Employees!F69,Departments!$A$2:$A$6,0))</f>
        <v>HR</v>
      </c>
      <c r="P69" s="3">
        <f>INDEX(Performance!$C$2:$C$501,MATCH(Employees!A69,Performance!$A$2:$A$501,0))</f>
        <v>2</v>
      </c>
      <c r="Q69" s="4">
        <f t="shared" si="1"/>
        <v>1955.5</v>
      </c>
    </row>
    <row r="70" spans="1:17" hidden="1" x14ac:dyDescent="0.25">
      <c r="A70" s="2" t="s">
        <v>260</v>
      </c>
      <c r="B70" s="2" t="s">
        <v>18</v>
      </c>
      <c r="C70" s="2" t="s">
        <v>51</v>
      </c>
      <c r="D70" s="2" t="s">
        <v>29</v>
      </c>
      <c r="E70" s="2">
        <v>35</v>
      </c>
      <c r="F70" s="2" t="s">
        <v>56</v>
      </c>
      <c r="G70" s="2" t="s">
        <v>46</v>
      </c>
      <c r="H70" s="2" t="s">
        <v>261</v>
      </c>
      <c r="I70" s="2">
        <v>60760</v>
      </c>
      <c r="J70" s="2" t="s">
        <v>86</v>
      </c>
      <c r="K70" s="2" t="s">
        <v>262</v>
      </c>
      <c r="L70" s="2" t="s">
        <v>42</v>
      </c>
      <c r="M70" s="2" t="str">
        <f>VLOOKUP(F70,Departments!$A$1:$C$6,2,0)</f>
        <v>Finance</v>
      </c>
      <c r="N70" s="2" t="str">
        <f>INDEX(Departments!$B$1:$B$6, MATCH(Employees!F70, Departments!$A$1:$A$6, 0))</f>
        <v>Finance</v>
      </c>
      <c r="O70" s="3" t="str">
        <f>INDEX(Departments!$B$2:$B$6,MATCH(Employees!F70,Departments!$A$2:$A$6,0))</f>
        <v>Finance</v>
      </c>
      <c r="P70" s="3">
        <f>INDEX(Performance!$C$2:$C$501,MATCH(Employees!A70,Performance!$A$2:$A$501,0))</f>
        <v>4</v>
      </c>
      <c r="Q70" s="4">
        <f t="shared" si="1"/>
        <v>6076</v>
      </c>
    </row>
    <row r="71" spans="1:17" hidden="1" x14ac:dyDescent="0.25">
      <c r="A71" s="2" t="s">
        <v>263</v>
      </c>
      <c r="B71" s="2" t="s">
        <v>44</v>
      </c>
      <c r="C71" s="2" t="s">
        <v>96</v>
      </c>
      <c r="D71" s="2" t="s">
        <v>20</v>
      </c>
      <c r="E71" s="2">
        <v>27</v>
      </c>
      <c r="F71" s="2" t="s">
        <v>37</v>
      </c>
      <c r="G71" s="2" t="s">
        <v>31</v>
      </c>
      <c r="H71" s="2" t="s">
        <v>264</v>
      </c>
      <c r="I71" s="2">
        <v>118796</v>
      </c>
      <c r="J71" s="2" t="s">
        <v>66</v>
      </c>
      <c r="K71" s="2" t="s">
        <v>265</v>
      </c>
      <c r="L71" s="2" t="s">
        <v>42</v>
      </c>
      <c r="M71" s="2" t="str">
        <f>VLOOKUP(F71,Departments!$A$1:$C$6,2,0)</f>
        <v>Sales</v>
      </c>
      <c r="N71" s="2" t="str">
        <f>INDEX(Departments!$B$1:$B$6, MATCH(Employees!F71, Departments!$A$1:$A$6, 0))</f>
        <v>Sales</v>
      </c>
      <c r="O71" s="3" t="str">
        <f>INDEX(Departments!$B$2:$B$6,MATCH(Employees!F71,Departments!$A$2:$A$6,0))</f>
        <v>Sales</v>
      </c>
      <c r="P71" s="3">
        <f>INDEX(Performance!$C$2:$C$501,MATCH(Employees!A71,Performance!$A$2:$A$501,0))</f>
        <v>4</v>
      </c>
      <c r="Q71" s="4">
        <f t="shared" si="1"/>
        <v>11879.6</v>
      </c>
    </row>
    <row r="72" spans="1:17" hidden="1" x14ac:dyDescent="0.25">
      <c r="A72" s="2" t="s">
        <v>266</v>
      </c>
      <c r="B72" s="2" t="s">
        <v>77</v>
      </c>
      <c r="C72" s="2" t="s">
        <v>96</v>
      </c>
      <c r="D72" s="2" t="s">
        <v>20</v>
      </c>
      <c r="E72" s="2">
        <v>49</v>
      </c>
      <c r="F72" s="2" t="s">
        <v>37</v>
      </c>
      <c r="G72" s="2" t="s">
        <v>22</v>
      </c>
      <c r="H72" s="2" t="s">
        <v>267</v>
      </c>
      <c r="I72" s="2">
        <v>88225</v>
      </c>
      <c r="J72" s="2" t="s">
        <v>40</v>
      </c>
      <c r="K72" s="2" t="s">
        <v>268</v>
      </c>
      <c r="L72" s="2" t="s">
        <v>26</v>
      </c>
      <c r="M72" s="2" t="str">
        <f>VLOOKUP(F72,Departments!$A$1:$C$6,2,0)</f>
        <v>Sales</v>
      </c>
      <c r="N72" s="2" t="str">
        <f>INDEX(Departments!$B$1:$B$6, MATCH(Employees!F72, Departments!$A$1:$A$6, 0))</f>
        <v>Sales</v>
      </c>
      <c r="O72" s="3" t="str">
        <f>INDEX(Departments!$B$2:$B$6,MATCH(Employees!F72,Departments!$A$2:$A$6,0))</f>
        <v>Sales</v>
      </c>
      <c r="P72" s="3">
        <f>INDEX(Performance!$C$2:$C$501,MATCH(Employees!A72,Performance!$A$2:$A$501,0))</f>
        <v>2</v>
      </c>
      <c r="Q72" s="4">
        <f t="shared" si="1"/>
        <v>4411.25</v>
      </c>
    </row>
    <row r="73" spans="1:17" hidden="1" x14ac:dyDescent="0.25">
      <c r="A73" s="2" t="s">
        <v>269</v>
      </c>
      <c r="B73" s="2" t="s">
        <v>55</v>
      </c>
      <c r="C73" s="2" t="s">
        <v>96</v>
      </c>
      <c r="D73" s="2" t="s">
        <v>20</v>
      </c>
      <c r="E73" s="2">
        <v>22</v>
      </c>
      <c r="F73" s="2" t="s">
        <v>37</v>
      </c>
      <c r="G73" s="2" t="s">
        <v>114</v>
      </c>
      <c r="H73" s="2" t="s">
        <v>270</v>
      </c>
      <c r="I73" s="2">
        <v>64891</v>
      </c>
      <c r="J73" s="2" t="s">
        <v>71</v>
      </c>
      <c r="K73" s="2" t="s">
        <v>271</v>
      </c>
      <c r="L73" s="2" t="s">
        <v>26</v>
      </c>
      <c r="M73" s="2" t="str">
        <f>VLOOKUP(F73,Departments!$A$1:$C$6,2,0)</f>
        <v>Sales</v>
      </c>
      <c r="N73" s="2" t="str">
        <f>INDEX(Departments!$B$1:$B$6, MATCH(Employees!F73, Departments!$A$1:$A$6, 0))</f>
        <v>Sales</v>
      </c>
      <c r="O73" s="3" t="str">
        <f>INDEX(Departments!$B$2:$B$6,MATCH(Employees!F73,Departments!$A$2:$A$6,0))</f>
        <v>Sales</v>
      </c>
      <c r="P73" s="3">
        <f>INDEX(Performance!$C$2:$C$501,MATCH(Employees!A73,Performance!$A$2:$A$501,0))</f>
        <v>4</v>
      </c>
      <c r="Q73" s="4">
        <f t="shared" si="1"/>
        <v>6489.1</v>
      </c>
    </row>
    <row r="74" spans="1:17" hidden="1" x14ac:dyDescent="0.25">
      <c r="A74" s="2" t="s">
        <v>272</v>
      </c>
      <c r="B74" s="2" t="s">
        <v>50</v>
      </c>
      <c r="C74" s="2" t="s">
        <v>51</v>
      </c>
      <c r="D74" s="2" t="s">
        <v>29</v>
      </c>
      <c r="E74" s="2">
        <v>48</v>
      </c>
      <c r="F74" s="2" t="s">
        <v>56</v>
      </c>
      <c r="G74" s="2" t="s">
        <v>38</v>
      </c>
      <c r="H74" s="2" t="s">
        <v>273</v>
      </c>
      <c r="I74" s="2">
        <v>72035</v>
      </c>
      <c r="J74" s="2" t="s">
        <v>24</v>
      </c>
      <c r="K74" s="2" t="s">
        <v>274</v>
      </c>
      <c r="L74" s="2" t="s">
        <v>26</v>
      </c>
      <c r="M74" s="2" t="str">
        <f>VLOOKUP(F74,Departments!$A$1:$C$6,2,0)</f>
        <v>Finance</v>
      </c>
      <c r="N74" s="2" t="str">
        <f>INDEX(Departments!$B$1:$B$6, MATCH(Employees!F74, Departments!$A$1:$A$6, 0))</f>
        <v>Finance</v>
      </c>
      <c r="O74" s="3" t="str">
        <f>INDEX(Departments!$B$2:$B$6,MATCH(Employees!F74,Departments!$A$2:$A$6,0))</f>
        <v>Finance</v>
      </c>
      <c r="P74" s="3">
        <f>INDEX(Performance!$C$2:$C$501,MATCH(Employees!A74,Performance!$A$2:$A$501,0))</f>
        <v>3</v>
      </c>
      <c r="Q74" s="4">
        <f t="shared" si="1"/>
        <v>5042.4500000000007</v>
      </c>
    </row>
    <row r="75" spans="1:17" hidden="1" x14ac:dyDescent="0.25">
      <c r="A75" s="2" t="s">
        <v>275</v>
      </c>
      <c r="B75" s="2" t="s">
        <v>18</v>
      </c>
      <c r="C75" s="2" t="s">
        <v>136</v>
      </c>
      <c r="D75" s="2" t="s">
        <v>29</v>
      </c>
      <c r="E75" s="2">
        <v>30</v>
      </c>
      <c r="F75" s="2" t="s">
        <v>21</v>
      </c>
      <c r="G75" s="2" t="s">
        <v>22</v>
      </c>
      <c r="H75" s="2" t="s">
        <v>276</v>
      </c>
      <c r="I75" s="2">
        <v>50545</v>
      </c>
      <c r="J75" s="2" t="s">
        <v>86</v>
      </c>
      <c r="K75" s="2" t="s">
        <v>277</v>
      </c>
      <c r="L75" s="2" t="s">
        <v>26</v>
      </c>
      <c r="M75" s="2" t="str">
        <f>VLOOKUP(F75,Departments!$A$1:$C$6,2,0)</f>
        <v>HR</v>
      </c>
      <c r="N75" s="2" t="str">
        <f>INDEX(Departments!$B$1:$B$6, MATCH(Employees!F75, Departments!$A$1:$A$6, 0))</f>
        <v>HR</v>
      </c>
      <c r="O75" s="3" t="str">
        <f>INDEX(Departments!$B$2:$B$6,MATCH(Employees!F75,Departments!$A$2:$A$6,0))</f>
        <v>HR</v>
      </c>
      <c r="P75" s="3">
        <f>INDEX(Performance!$C$2:$C$501,MATCH(Employees!A75,Performance!$A$2:$A$501,0))</f>
        <v>3</v>
      </c>
      <c r="Q75" s="4">
        <f t="shared" si="1"/>
        <v>3538.1500000000005</v>
      </c>
    </row>
    <row r="76" spans="1:17" hidden="1" x14ac:dyDescent="0.25">
      <c r="A76" s="2" t="s">
        <v>278</v>
      </c>
      <c r="B76" s="2" t="s">
        <v>149</v>
      </c>
      <c r="C76" s="2" t="s">
        <v>28</v>
      </c>
      <c r="D76" s="2" t="s">
        <v>29</v>
      </c>
      <c r="E76" s="2">
        <v>36</v>
      </c>
      <c r="F76" s="2" t="s">
        <v>21</v>
      </c>
      <c r="G76" s="2" t="s">
        <v>38</v>
      </c>
      <c r="H76" s="2" t="s">
        <v>279</v>
      </c>
      <c r="I76" s="2">
        <v>79385</v>
      </c>
      <c r="J76" s="2" t="s">
        <v>40</v>
      </c>
      <c r="K76" s="2" t="s">
        <v>280</v>
      </c>
      <c r="L76" s="2" t="s">
        <v>26</v>
      </c>
      <c r="M76" s="2" t="str">
        <f>VLOOKUP(F76,Departments!$A$1:$C$6,2,0)</f>
        <v>HR</v>
      </c>
      <c r="N76" s="2" t="str">
        <f>INDEX(Departments!$B$1:$B$6, MATCH(Employees!F76, Departments!$A$1:$A$6, 0))</f>
        <v>HR</v>
      </c>
      <c r="O76" s="3" t="str">
        <f>INDEX(Departments!$B$2:$B$6,MATCH(Employees!F76,Departments!$A$2:$A$6,0))</f>
        <v>HR</v>
      </c>
      <c r="P76" s="3">
        <f>INDEX(Performance!$C$2:$C$501,MATCH(Employees!A76,Performance!$A$2:$A$501,0))</f>
        <v>5</v>
      </c>
      <c r="Q76" s="4">
        <f t="shared" si="1"/>
        <v>11907.75</v>
      </c>
    </row>
    <row r="77" spans="1:17" hidden="1" x14ac:dyDescent="0.25">
      <c r="A77" s="2" t="s">
        <v>281</v>
      </c>
      <c r="B77" s="2" t="s">
        <v>60</v>
      </c>
      <c r="C77" s="2" t="s">
        <v>19</v>
      </c>
      <c r="D77" s="2" t="s">
        <v>20</v>
      </c>
      <c r="E77" s="2">
        <v>52</v>
      </c>
      <c r="F77" s="2" t="s">
        <v>56</v>
      </c>
      <c r="G77" s="2" t="s">
        <v>38</v>
      </c>
      <c r="H77" s="2" t="s">
        <v>282</v>
      </c>
      <c r="I77" s="2">
        <v>48744</v>
      </c>
      <c r="J77" s="2" t="s">
        <v>71</v>
      </c>
      <c r="K77" s="2" t="s">
        <v>283</v>
      </c>
      <c r="L77" s="2" t="s">
        <v>42</v>
      </c>
      <c r="M77" s="2" t="str">
        <f>VLOOKUP(F77,Departments!$A$1:$C$6,2,0)</f>
        <v>Finance</v>
      </c>
      <c r="N77" s="2" t="str">
        <f>INDEX(Departments!$B$1:$B$6, MATCH(Employees!F77, Departments!$A$1:$A$6, 0))</f>
        <v>Finance</v>
      </c>
      <c r="O77" s="3" t="str">
        <f>INDEX(Departments!$B$2:$B$6,MATCH(Employees!F77,Departments!$A$2:$A$6,0))</f>
        <v>Finance</v>
      </c>
      <c r="P77" s="3">
        <f>INDEX(Performance!$C$2:$C$501,MATCH(Employees!A77,Performance!$A$2:$A$501,0))</f>
        <v>3</v>
      </c>
      <c r="Q77" s="4">
        <f t="shared" si="1"/>
        <v>3412.0800000000004</v>
      </c>
    </row>
    <row r="78" spans="1:17" hidden="1" x14ac:dyDescent="0.25">
      <c r="A78" s="2" t="s">
        <v>284</v>
      </c>
      <c r="B78" s="2" t="s">
        <v>149</v>
      </c>
      <c r="C78" s="2" t="s">
        <v>101</v>
      </c>
      <c r="D78" s="2" t="s">
        <v>29</v>
      </c>
      <c r="E78" s="2">
        <v>53</v>
      </c>
      <c r="F78" s="2" t="s">
        <v>30</v>
      </c>
      <c r="G78" s="2" t="s">
        <v>114</v>
      </c>
      <c r="H78" s="2" t="s">
        <v>285</v>
      </c>
      <c r="I78" s="2">
        <v>48865</v>
      </c>
      <c r="J78" s="2" t="s">
        <v>66</v>
      </c>
      <c r="K78" s="2" t="s">
        <v>286</v>
      </c>
      <c r="L78" s="2" t="s">
        <v>26</v>
      </c>
      <c r="M78" s="2" t="str">
        <f>VLOOKUP(F78,Departments!$A$1:$C$6,2,0)</f>
        <v>IT</v>
      </c>
      <c r="N78" s="2" t="str">
        <f>INDEX(Departments!$B$1:$B$6, MATCH(Employees!F78, Departments!$A$1:$A$6, 0))</f>
        <v>IT</v>
      </c>
      <c r="O78" s="3" t="str">
        <f>INDEX(Departments!$B$2:$B$6,MATCH(Employees!F78,Departments!$A$2:$A$6,0))</f>
        <v>IT</v>
      </c>
      <c r="P78" s="3">
        <f>INDEX(Performance!$C$2:$C$501,MATCH(Employees!A78,Performance!$A$2:$A$501,0))</f>
        <v>1</v>
      </c>
      <c r="Q78" s="4">
        <f t="shared" si="1"/>
        <v>2443.25</v>
      </c>
    </row>
    <row r="79" spans="1:17" hidden="1" x14ac:dyDescent="0.25">
      <c r="A79" s="2" t="s">
        <v>287</v>
      </c>
      <c r="B79" s="2" t="s">
        <v>55</v>
      </c>
      <c r="C79" s="2" t="s">
        <v>69</v>
      </c>
      <c r="D79" s="2" t="s">
        <v>20</v>
      </c>
      <c r="E79" s="2">
        <v>53</v>
      </c>
      <c r="F79" s="2" t="s">
        <v>56</v>
      </c>
      <c r="G79" s="2" t="s">
        <v>22</v>
      </c>
      <c r="H79" s="2" t="s">
        <v>288</v>
      </c>
      <c r="I79" s="2">
        <v>73437</v>
      </c>
      <c r="J79" s="2" t="s">
        <v>71</v>
      </c>
      <c r="K79" s="2" t="s">
        <v>289</v>
      </c>
      <c r="L79" s="2" t="s">
        <v>42</v>
      </c>
      <c r="M79" s="2" t="str">
        <f>VLOOKUP(F79,Departments!$A$1:$C$6,2,0)</f>
        <v>Finance</v>
      </c>
      <c r="N79" s="2" t="str">
        <f>INDEX(Departments!$B$1:$B$6, MATCH(Employees!F79, Departments!$A$1:$A$6, 0))</f>
        <v>Finance</v>
      </c>
      <c r="O79" s="3" t="str">
        <f>INDEX(Departments!$B$2:$B$6,MATCH(Employees!F79,Departments!$A$2:$A$6,0))</f>
        <v>Finance</v>
      </c>
      <c r="P79" s="3">
        <f>INDEX(Performance!$C$2:$C$501,MATCH(Employees!A79,Performance!$A$2:$A$501,0))</f>
        <v>4</v>
      </c>
      <c r="Q79" s="4">
        <f t="shared" si="1"/>
        <v>7343.7000000000007</v>
      </c>
    </row>
    <row r="80" spans="1:17" hidden="1" x14ac:dyDescent="0.25">
      <c r="A80" s="2" t="s">
        <v>290</v>
      </c>
      <c r="B80" s="2" t="s">
        <v>60</v>
      </c>
      <c r="C80" s="2" t="s">
        <v>171</v>
      </c>
      <c r="D80" s="2" t="s">
        <v>20</v>
      </c>
      <c r="E80" s="2">
        <v>25</v>
      </c>
      <c r="F80" s="2" t="s">
        <v>45</v>
      </c>
      <c r="G80" s="2" t="s">
        <v>22</v>
      </c>
      <c r="H80" s="2" t="s">
        <v>291</v>
      </c>
      <c r="I80" s="2">
        <v>75232</v>
      </c>
      <c r="J80" s="2" t="s">
        <v>86</v>
      </c>
      <c r="K80" s="2" t="s">
        <v>292</v>
      </c>
      <c r="L80" s="2" t="s">
        <v>26</v>
      </c>
      <c r="M80" s="2" t="str">
        <f>VLOOKUP(F80,Departments!$A$1:$C$6,2,0)</f>
        <v>Marketing</v>
      </c>
      <c r="N80" s="2" t="str">
        <f>INDEX(Departments!$B$1:$B$6, MATCH(Employees!F80, Departments!$A$1:$A$6, 0))</f>
        <v>Marketing</v>
      </c>
      <c r="O80" s="3" t="str">
        <f>INDEX(Departments!$B$2:$B$6,MATCH(Employees!F80,Departments!$A$2:$A$6,0))</f>
        <v>Marketing</v>
      </c>
      <c r="P80" s="3">
        <f>INDEX(Performance!$C$2:$C$501,MATCH(Employees!A80,Performance!$A$2:$A$501,0))</f>
        <v>1</v>
      </c>
      <c r="Q80" s="4">
        <f t="shared" si="1"/>
        <v>3761.6000000000004</v>
      </c>
    </row>
    <row r="81" spans="1:17" hidden="1" x14ac:dyDescent="0.25">
      <c r="A81" s="2" t="s">
        <v>293</v>
      </c>
      <c r="B81" s="2" t="s">
        <v>77</v>
      </c>
      <c r="C81" s="2" t="s">
        <v>19</v>
      </c>
      <c r="D81" s="2" t="s">
        <v>20</v>
      </c>
      <c r="E81" s="2">
        <v>48</v>
      </c>
      <c r="F81" s="2" t="s">
        <v>37</v>
      </c>
      <c r="G81" s="2" t="s">
        <v>22</v>
      </c>
      <c r="H81" s="2" t="s">
        <v>294</v>
      </c>
      <c r="I81" s="2">
        <v>53034</v>
      </c>
      <c r="J81" s="2" t="s">
        <v>71</v>
      </c>
      <c r="K81" s="2" t="s">
        <v>295</v>
      </c>
      <c r="L81" s="2" t="s">
        <v>26</v>
      </c>
      <c r="M81" s="2" t="str">
        <f>VLOOKUP(F81,Departments!$A$1:$C$6,2,0)</f>
        <v>Sales</v>
      </c>
      <c r="N81" s="2" t="str">
        <f>INDEX(Departments!$B$1:$B$6, MATCH(Employees!F81, Departments!$A$1:$A$6, 0))</f>
        <v>Sales</v>
      </c>
      <c r="O81" s="3" t="str">
        <f>INDEX(Departments!$B$2:$B$6,MATCH(Employees!F81,Departments!$A$2:$A$6,0))</f>
        <v>Sales</v>
      </c>
      <c r="P81" s="3">
        <f>INDEX(Performance!$C$2:$C$501,MATCH(Employees!A81,Performance!$A$2:$A$501,0))</f>
        <v>2</v>
      </c>
      <c r="Q81" s="4">
        <f t="shared" si="1"/>
        <v>2651.7000000000003</v>
      </c>
    </row>
    <row r="82" spans="1:17" hidden="1" x14ac:dyDescent="0.25">
      <c r="A82" s="2" t="s">
        <v>296</v>
      </c>
      <c r="B82" s="2" t="s">
        <v>77</v>
      </c>
      <c r="C82" s="2" t="s">
        <v>28</v>
      </c>
      <c r="D82" s="2" t="s">
        <v>29</v>
      </c>
      <c r="E82" s="2">
        <v>45</v>
      </c>
      <c r="F82" s="2" t="s">
        <v>21</v>
      </c>
      <c r="G82" s="2" t="s">
        <v>22</v>
      </c>
      <c r="H82" s="2" t="s">
        <v>297</v>
      </c>
      <c r="I82" s="2">
        <v>110168</v>
      </c>
      <c r="J82" s="2" t="s">
        <v>66</v>
      </c>
      <c r="K82" s="2" t="s">
        <v>298</v>
      </c>
      <c r="L82" s="2" t="s">
        <v>42</v>
      </c>
      <c r="M82" s="2" t="str">
        <f>VLOOKUP(F82,Departments!$A$1:$C$6,2,0)</f>
        <v>HR</v>
      </c>
      <c r="N82" s="2" t="str">
        <f>INDEX(Departments!$B$1:$B$6, MATCH(Employees!F82, Departments!$A$1:$A$6, 0))</f>
        <v>HR</v>
      </c>
      <c r="O82" s="3" t="str">
        <f>INDEX(Departments!$B$2:$B$6,MATCH(Employees!F82,Departments!$A$2:$A$6,0))</f>
        <v>HR</v>
      </c>
      <c r="P82" s="3">
        <f>INDEX(Performance!$C$2:$C$501,MATCH(Employees!A82,Performance!$A$2:$A$501,0))</f>
        <v>4</v>
      </c>
      <c r="Q82" s="4">
        <f t="shared" si="1"/>
        <v>11016.800000000001</v>
      </c>
    </row>
    <row r="83" spans="1:17" hidden="1" x14ac:dyDescent="0.25">
      <c r="A83" s="2" t="s">
        <v>299</v>
      </c>
      <c r="B83" s="2" t="s">
        <v>44</v>
      </c>
      <c r="C83" s="2" t="s">
        <v>84</v>
      </c>
      <c r="D83" s="2" t="s">
        <v>20</v>
      </c>
      <c r="E83" s="2">
        <v>51</v>
      </c>
      <c r="F83" s="2" t="s">
        <v>30</v>
      </c>
      <c r="G83" s="2" t="s">
        <v>38</v>
      </c>
      <c r="H83" s="2" t="s">
        <v>300</v>
      </c>
      <c r="I83" s="2">
        <v>107488</v>
      </c>
      <c r="J83" s="2" t="s">
        <v>40</v>
      </c>
      <c r="K83" s="2" t="s">
        <v>301</v>
      </c>
      <c r="L83" s="2" t="s">
        <v>42</v>
      </c>
      <c r="M83" s="2" t="str">
        <f>VLOOKUP(F83,Departments!$A$1:$C$6,2,0)</f>
        <v>IT</v>
      </c>
      <c r="N83" s="2" t="str">
        <f>INDEX(Departments!$B$1:$B$6, MATCH(Employees!F83, Departments!$A$1:$A$6, 0))</f>
        <v>IT</v>
      </c>
      <c r="O83" s="3" t="str">
        <f>INDEX(Departments!$B$2:$B$6,MATCH(Employees!F83,Departments!$A$2:$A$6,0))</f>
        <v>IT</v>
      </c>
      <c r="P83" s="3">
        <f>INDEX(Performance!$C$2:$C$501,MATCH(Employees!A83,Performance!$A$2:$A$501,0))</f>
        <v>1</v>
      </c>
      <c r="Q83" s="4">
        <f t="shared" si="1"/>
        <v>5374.4000000000005</v>
      </c>
    </row>
    <row r="84" spans="1:17" hidden="1" x14ac:dyDescent="0.25">
      <c r="A84" s="2" t="s">
        <v>302</v>
      </c>
      <c r="B84" s="2" t="s">
        <v>50</v>
      </c>
      <c r="C84" s="2" t="s">
        <v>51</v>
      </c>
      <c r="D84" s="2" t="s">
        <v>20</v>
      </c>
      <c r="E84" s="2">
        <v>50</v>
      </c>
      <c r="F84" s="2" t="s">
        <v>37</v>
      </c>
      <c r="G84" s="2" t="s">
        <v>22</v>
      </c>
      <c r="H84" s="2" t="s">
        <v>303</v>
      </c>
      <c r="I84" s="2">
        <v>53754</v>
      </c>
      <c r="J84" s="2" t="s">
        <v>40</v>
      </c>
      <c r="K84" s="2" t="s">
        <v>304</v>
      </c>
      <c r="L84" s="2" t="s">
        <v>42</v>
      </c>
      <c r="M84" s="2" t="str">
        <f>VLOOKUP(F84,Departments!$A$1:$C$6,2,0)</f>
        <v>Sales</v>
      </c>
      <c r="N84" s="2" t="str">
        <f>INDEX(Departments!$B$1:$B$6, MATCH(Employees!F84, Departments!$A$1:$A$6, 0))</f>
        <v>Sales</v>
      </c>
      <c r="O84" s="3" t="str">
        <f>INDEX(Departments!$B$2:$B$6,MATCH(Employees!F84,Departments!$A$2:$A$6,0))</f>
        <v>Sales</v>
      </c>
      <c r="P84" s="3">
        <f>INDEX(Performance!$C$2:$C$501,MATCH(Employees!A84,Performance!$A$2:$A$501,0))</f>
        <v>3</v>
      </c>
      <c r="Q84" s="4">
        <f t="shared" si="1"/>
        <v>3762.78</v>
      </c>
    </row>
    <row r="85" spans="1:17" hidden="1" x14ac:dyDescent="0.25">
      <c r="A85" s="2" t="s">
        <v>305</v>
      </c>
      <c r="B85" s="2" t="s">
        <v>100</v>
      </c>
      <c r="C85" s="2" t="s">
        <v>136</v>
      </c>
      <c r="D85" s="2" t="s">
        <v>29</v>
      </c>
      <c r="E85" s="2">
        <v>47</v>
      </c>
      <c r="F85" s="2" t="s">
        <v>21</v>
      </c>
      <c r="G85" s="2" t="s">
        <v>38</v>
      </c>
      <c r="H85" s="2" t="s">
        <v>306</v>
      </c>
      <c r="I85" s="2">
        <v>99891</v>
      </c>
      <c r="J85" s="2" t="s">
        <v>40</v>
      </c>
      <c r="K85" s="2" t="s">
        <v>307</v>
      </c>
      <c r="L85" s="2" t="s">
        <v>42</v>
      </c>
      <c r="M85" s="2" t="str">
        <f>VLOOKUP(F85,Departments!$A$1:$C$6,2,0)</f>
        <v>HR</v>
      </c>
      <c r="N85" s="2" t="str">
        <f>INDEX(Departments!$B$1:$B$6, MATCH(Employees!F85, Departments!$A$1:$A$6, 0))</f>
        <v>HR</v>
      </c>
      <c r="O85" s="3" t="str">
        <f>INDEX(Departments!$B$2:$B$6,MATCH(Employees!F85,Departments!$A$2:$A$6,0))</f>
        <v>HR</v>
      </c>
      <c r="P85" s="3">
        <f>INDEX(Performance!$C$2:$C$501,MATCH(Employees!A85,Performance!$A$2:$A$501,0))</f>
        <v>2</v>
      </c>
      <c r="Q85" s="4">
        <f t="shared" si="1"/>
        <v>4994.55</v>
      </c>
    </row>
    <row r="86" spans="1:17" hidden="1" x14ac:dyDescent="0.25">
      <c r="A86" s="2" t="s">
        <v>308</v>
      </c>
      <c r="B86" s="2" t="s">
        <v>60</v>
      </c>
      <c r="C86" s="2" t="s">
        <v>96</v>
      </c>
      <c r="D86" s="2" t="s">
        <v>29</v>
      </c>
      <c r="E86" s="2">
        <v>37</v>
      </c>
      <c r="F86" s="2" t="s">
        <v>37</v>
      </c>
      <c r="G86" s="2" t="s">
        <v>31</v>
      </c>
      <c r="H86" s="2" t="s">
        <v>309</v>
      </c>
      <c r="I86" s="2">
        <v>109363</v>
      </c>
      <c r="J86" s="2" t="s">
        <v>66</v>
      </c>
      <c r="K86" s="2" t="s">
        <v>310</v>
      </c>
      <c r="L86" s="2" t="s">
        <v>42</v>
      </c>
      <c r="M86" s="2" t="str">
        <f>VLOOKUP(F86,Departments!$A$1:$C$6,2,0)</f>
        <v>Sales</v>
      </c>
      <c r="N86" s="2" t="str">
        <f>INDEX(Departments!$B$1:$B$6, MATCH(Employees!F86, Departments!$A$1:$A$6, 0))</f>
        <v>Sales</v>
      </c>
      <c r="O86" s="3" t="str">
        <f>INDEX(Departments!$B$2:$B$6,MATCH(Employees!F86,Departments!$A$2:$A$6,0))</f>
        <v>Sales</v>
      </c>
      <c r="P86" s="3">
        <f>INDEX(Performance!$C$2:$C$501,MATCH(Employees!A86,Performance!$A$2:$A$501,0))</f>
        <v>4</v>
      </c>
      <c r="Q86" s="4">
        <f t="shared" si="1"/>
        <v>10936.300000000001</v>
      </c>
    </row>
    <row r="87" spans="1:17" hidden="1" x14ac:dyDescent="0.25">
      <c r="A87" s="2" t="s">
        <v>311</v>
      </c>
      <c r="B87" s="2" t="s">
        <v>64</v>
      </c>
      <c r="C87" s="2" t="s">
        <v>84</v>
      </c>
      <c r="D87" s="2" t="s">
        <v>29</v>
      </c>
      <c r="E87" s="2">
        <v>26</v>
      </c>
      <c r="F87" s="2" t="s">
        <v>45</v>
      </c>
      <c r="G87" s="2" t="s">
        <v>46</v>
      </c>
      <c r="H87" s="2" t="s">
        <v>150</v>
      </c>
      <c r="I87" s="2">
        <v>57248</v>
      </c>
      <c r="J87" s="2" t="s">
        <v>24</v>
      </c>
      <c r="K87" s="2" t="s">
        <v>312</v>
      </c>
      <c r="L87" s="2" t="s">
        <v>26</v>
      </c>
      <c r="M87" s="2" t="str">
        <f>VLOOKUP(F87,Departments!$A$1:$C$6,2,0)</f>
        <v>Marketing</v>
      </c>
      <c r="N87" s="2" t="str">
        <f>INDEX(Departments!$B$1:$B$6, MATCH(Employees!F87, Departments!$A$1:$A$6, 0))</f>
        <v>Marketing</v>
      </c>
      <c r="O87" s="3" t="str">
        <f>INDEX(Departments!$B$2:$B$6,MATCH(Employees!F87,Departments!$A$2:$A$6,0))</f>
        <v>Marketing</v>
      </c>
      <c r="P87" s="3">
        <f>INDEX(Performance!$C$2:$C$501,MATCH(Employees!A87,Performance!$A$2:$A$501,0))</f>
        <v>3</v>
      </c>
      <c r="Q87" s="4">
        <f t="shared" si="1"/>
        <v>4007.3600000000006</v>
      </c>
    </row>
    <row r="88" spans="1:17" hidden="1" x14ac:dyDescent="0.25">
      <c r="A88" s="2" t="s">
        <v>313</v>
      </c>
      <c r="B88" s="2" t="s">
        <v>50</v>
      </c>
      <c r="C88" s="2" t="s">
        <v>101</v>
      </c>
      <c r="D88" s="2" t="s">
        <v>20</v>
      </c>
      <c r="E88" s="2">
        <v>28</v>
      </c>
      <c r="F88" s="2" t="s">
        <v>56</v>
      </c>
      <c r="G88" s="2" t="s">
        <v>114</v>
      </c>
      <c r="H88" s="2" t="s">
        <v>314</v>
      </c>
      <c r="I88" s="2">
        <v>89625</v>
      </c>
      <c r="J88" s="2" t="s">
        <v>66</v>
      </c>
      <c r="K88" s="2" t="s">
        <v>315</v>
      </c>
      <c r="L88" s="2" t="s">
        <v>42</v>
      </c>
      <c r="M88" s="2" t="str">
        <f>VLOOKUP(F88,Departments!$A$1:$C$6,2,0)</f>
        <v>Finance</v>
      </c>
      <c r="N88" s="2" t="str">
        <f>INDEX(Departments!$B$1:$B$6, MATCH(Employees!F88, Departments!$A$1:$A$6, 0))</f>
        <v>Finance</v>
      </c>
      <c r="O88" s="3" t="str">
        <f>INDEX(Departments!$B$2:$B$6,MATCH(Employees!F88,Departments!$A$2:$A$6,0))</f>
        <v>Finance</v>
      </c>
      <c r="P88" s="3">
        <f>INDEX(Performance!$C$2:$C$501,MATCH(Employees!A88,Performance!$A$2:$A$501,0))</f>
        <v>5</v>
      </c>
      <c r="Q88" s="4">
        <f t="shared" si="1"/>
        <v>13443.75</v>
      </c>
    </row>
    <row r="89" spans="1:17" hidden="1" x14ac:dyDescent="0.25">
      <c r="A89" s="2" t="s">
        <v>316</v>
      </c>
      <c r="B89" s="2" t="s">
        <v>55</v>
      </c>
      <c r="C89" s="2" t="s">
        <v>51</v>
      </c>
      <c r="D89" s="2" t="s">
        <v>20</v>
      </c>
      <c r="E89" s="2">
        <v>44</v>
      </c>
      <c r="F89" s="2" t="s">
        <v>45</v>
      </c>
      <c r="G89" s="2" t="s">
        <v>22</v>
      </c>
      <c r="H89" s="2" t="s">
        <v>317</v>
      </c>
      <c r="I89" s="2">
        <v>104211</v>
      </c>
      <c r="J89" s="2" t="s">
        <v>71</v>
      </c>
      <c r="K89" s="2" t="s">
        <v>318</v>
      </c>
      <c r="L89" s="2" t="s">
        <v>42</v>
      </c>
      <c r="M89" s="2" t="str">
        <f>VLOOKUP(F89,Departments!$A$1:$C$6,2,0)</f>
        <v>Marketing</v>
      </c>
      <c r="N89" s="2" t="str">
        <f>INDEX(Departments!$B$1:$B$6, MATCH(Employees!F89, Departments!$A$1:$A$6, 0))</f>
        <v>Marketing</v>
      </c>
      <c r="O89" s="3" t="str">
        <f>INDEX(Departments!$B$2:$B$6,MATCH(Employees!F89,Departments!$A$2:$A$6,0))</f>
        <v>Marketing</v>
      </c>
      <c r="P89" s="3">
        <f>INDEX(Performance!$C$2:$C$501,MATCH(Employees!A89,Performance!$A$2:$A$501,0))</f>
        <v>5</v>
      </c>
      <c r="Q89" s="4">
        <f t="shared" si="1"/>
        <v>15631.65</v>
      </c>
    </row>
    <row r="90" spans="1:17" hidden="1" x14ac:dyDescent="0.25">
      <c r="A90" s="2" t="s">
        <v>319</v>
      </c>
      <c r="B90" s="2" t="s">
        <v>60</v>
      </c>
      <c r="C90" s="2" t="s">
        <v>96</v>
      </c>
      <c r="D90" s="2" t="s">
        <v>20</v>
      </c>
      <c r="E90" s="2">
        <v>36</v>
      </c>
      <c r="F90" s="2" t="s">
        <v>30</v>
      </c>
      <c r="G90" s="2" t="s">
        <v>38</v>
      </c>
      <c r="H90" s="2" t="s">
        <v>320</v>
      </c>
      <c r="I90" s="2">
        <v>82819</v>
      </c>
      <c r="J90" s="2" t="s">
        <v>40</v>
      </c>
      <c r="K90" s="2" t="s">
        <v>321</v>
      </c>
      <c r="L90" s="2" t="s">
        <v>42</v>
      </c>
      <c r="M90" s="2" t="str">
        <f>VLOOKUP(F90,Departments!$A$1:$C$6,2,0)</f>
        <v>IT</v>
      </c>
      <c r="N90" s="2" t="str">
        <f>INDEX(Departments!$B$1:$B$6, MATCH(Employees!F90, Departments!$A$1:$A$6, 0))</f>
        <v>IT</v>
      </c>
      <c r="O90" s="3" t="str">
        <f>INDEX(Departments!$B$2:$B$6,MATCH(Employees!F90,Departments!$A$2:$A$6,0))</f>
        <v>IT</v>
      </c>
      <c r="P90" s="3">
        <f>INDEX(Performance!$C$2:$C$501,MATCH(Employees!A90,Performance!$A$2:$A$501,0))</f>
        <v>1</v>
      </c>
      <c r="Q90" s="4">
        <f t="shared" si="1"/>
        <v>4140.95</v>
      </c>
    </row>
    <row r="91" spans="1:17" hidden="1" x14ac:dyDescent="0.25">
      <c r="A91" s="2" t="s">
        <v>322</v>
      </c>
      <c r="B91" s="2" t="s">
        <v>36</v>
      </c>
      <c r="C91" s="2" t="s">
        <v>96</v>
      </c>
      <c r="D91" s="2" t="s">
        <v>20</v>
      </c>
      <c r="E91" s="2">
        <v>54</v>
      </c>
      <c r="F91" s="2" t="s">
        <v>30</v>
      </c>
      <c r="G91" s="2" t="s">
        <v>38</v>
      </c>
      <c r="H91" s="2" t="s">
        <v>323</v>
      </c>
      <c r="I91" s="2">
        <v>105392</v>
      </c>
      <c r="J91" s="2" t="s">
        <v>86</v>
      </c>
      <c r="K91" s="2" t="s">
        <v>324</v>
      </c>
      <c r="L91" s="2" t="s">
        <v>26</v>
      </c>
      <c r="M91" s="2" t="str">
        <f>VLOOKUP(F91,Departments!$A$1:$C$6,2,0)</f>
        <v>IT</v>
      </c>
      <c r="N91" s="2" t="str">
        <f>INDEX(Departments!$B$1:$B$6, MATCH(Employees!F91, Departments!$A$1:$A$6, 0))</f>
        <v>IT</v>
      </c>
      <c r="O91" s="3" t="str">
        <f>INDEX(Departments!$B$2:$B$6,MATCH(Employees!F91,Departments!$A$2:$A$6,0))</f>
        <v>IT</v>
      </c>
      <c r="P91" s="3">
        <f>INDEX(Performance!$C$2:$C$501,MATCH(Employees!A91,Performance!$A$2:$A$501,0))</f>
        <v>3</v>
      </c>
      <c r="Q91" s="4">
        <f t="shared" si="1"/>
        <v>7377.4400000000005</v>
      </c>
    </row>
    <row r="92" spans="1:17" hidden="1" x14ac:dyDescent="0.25">
      <c r="A92" s="2" t="s">
        <v>325</v>
      </c>
      <c r="B92" s="2" t="s">
        <v>64</v>
      </c>
      <c r="C92" s="2" t="s">
        <v>28</v>
      </c>
      <c r="D92" s="2" t="s">
        <v>29</v>
      </c>
      <c r="E92" s="2">
        <v>49</v>
      </c>
      <c r="F92" s="2" t="s">
        <v>56</v>
      </c>
      <c r="G92" s="2" t="s">
        <v>22</v>
      </c>
      <c r="H92" s="2" t="s">
        <v>326</v>
      </c>
      <c r="I92" s="2">
        <v>52568</v>
      </c>
      <c r="J92" s="2" t="s">
        <v>40</v>
      </c>
      <c r="K92" s="2" t="s">
        <v>327</v>
      </c>
      <c r="L92" s="2" t="s">
        <v>26</v>
      </c>
      <c r="M92" s="2" t="str">
        <f>VLOOKUP(F92,Departments!$A$1:$C$6,2,0)</f>
        <v>Finance</v>
      </c>
      <c r="N92" s="2" t="str">
        <f>INDEX(Departments!$B$1:$B$6, MATCH(Employees!F92, Departments!$A$1:$A$6, 0))</f>
        <v>Finance</v>
      </c>
      <c r="O92" s="3" t="str">
        <f>INDEX(Departments!$B$2:$B$6,MATCH(Employees!F92,Departments!$A$2:$A$6,0))</f>
        <v>Finance</v>
      </c>
      <c r="P92" s="3">
        <f>INDEX(Performance!$C$2:$C$501,MATCH(Employees!A92,Performance!$A$2:$A$501,0))</f>
        <v>1</v>
      </c>
      <c r="Q92" s="4">
        <f t="shared" si="1"/>
        <v>2628.4</v>
      </c>
    </row>
    <row r="93" spans="1:17" hidden="1" x14ac:dyDescent="0.25">
      <c r="A93" s="2" t="s">
        <v>328</v>
      </c>
      <c r="B93" s="2" t="s">
        <v>77</v>
      </c>
      <c r="C93" s="2" t="s">
        <v>96</v>
      </c>
      <c r="D93" s="2" t="s">
        <v>20</v>
      </c>
      <c r="E93" s="2">
        <v>35</v>
      </c>
      <c r="F93" s="2" t="s">
        <v>30</v>
      </c>
      <c r="G93" s="2" t="s">
        <v>22</v>
      </c>
      <c r="H93" s="2" t="s">
        <v>329</v>
      </c>
      <c r="I93" s="2">
        <v>119403</v>
      </c>
      <c r="J93" s="2" t="s">
        <v>66</v>
      </c>
      <c r="K93" s="2" t="s">
        <v>330</v>
      </c>
      <c r="L93" s="2" t="s">
        <v>42</v>
      </c>
      <c r="M93" s="2" t="str">
        <f>VLOOKUP(F93,Departments!$A$1:$C$6,2,0)</f>
        <v>IT</v>
      </c>
      <c r="N93" s="2" t="str">
        <f>INDEX(Departments!$B$1:$B$6, MATCH(Employees!F93, Departments!$A$1:$A$6, 0))</f>
        <v>IT</v>
      </c>
      <c r="O93" s="3" t="str">
        <f>INDEX(Departments!$B$2:$B$6,MATCH(Employees!F93,Departments!$A$2:$A$6,0))</f>
        <v>IT</v>
      </c>
      <c r="P93" s="3">
        <f>INDEX(Performance!$C$2:$C$501,MATCH(Employees!A93,Performance!$A$2:$A$501,0))</f>
        <v>3</v>
      </c>
      <c r="Q93" s="4">
        <f t="shared" si="1"/>
        <v>8358.2100000000009</v>
      </c>
    </row>
    <row r="94" spans="1:17" hidden="1" x14ac:dyDescent="0.25">
      <c r="A94" s="2" t="s">
        <v>331</v>
      </c>
      <c r="B94" s="2" t="s">
        <v>55</v>
      </c>
      <c r="C94" s="2" t="s">
        <v>84</v>
      </c>
      <c r="D94" s="2" t="s">
        <v>20</v>
      </c>
      <c r="E94" s="2">
        <v>44</v>
      </c>
      <c r="F94" s="2" t="s">
        <v>56</v>
      </c>
      <c r="G94" s="2" t="s">
        <v>38</v>
      </c>
      <c r="H94" s="2" t="s">
        <v>332</v>
      </c>
      <c r="I94" s="2">
        <v>54883</v>
      </c>
      <c r="J94" s="2" t="s">
        <v>40</v>
      </c>
      <c r="K94" s="2" t="s">
        <v>333</v>
      </c>
      <c r="L94" s="2" t="s">
        <v>42</v>
      </c>
      <c r="M94" s="2" t="str">
        <f>VLOOKUP(F94,Departments!$A$1:$C$6,2,0)</f>
        <v>Finance</v>
      </c>
      <c r="N94" s="2" t="str">
        <f>INDEX(Departments!$B$1:$B$6, MATCH(Employees!F94, Departments!$A$1:$A$6, 0))</f>
        <v>Finance</v>
      </c>
      <c r="O94" s="3" t="str">
        <f>INDEX(Departments!$B$2:$B$6,MATCH(Employees!F94,Departments!$A$2:$A$6,0))</f>
        <v>Finance</v>
      </c>
      <c r="P94" s="3">
        <f>INDEX(Performance!$C$2:$C$501,MATCH(Employees!A94,Performance!$A$2:$A$501,0))</f>
        <v>2</v>
      </c>
      <c r="Q94" s="4">
        <f t="shared" si="1"/>
        <v>2744.15</v>
      </c>
    </row>
    <row r="95" spans="1:17" hidden="1" x14ac:dyDescent="0.25">
      <c r="A95" s="2" t="s">
        <v>334</v>
      </c>
      <c r="B95" s="2" t="s">
        <v>55</v>
      </c>
      <c r="C95" s="2" t="s">
        <v>84</v>
      </c>
      <c r="D95" s="2" t="s">
        <v>20</v>
      </c>
      <c r="E95" s="2">
        <v>44</v>
      </c>
      <c r="F95" s="2" t="s">
        <v>21</v>
      </c>
      <c r="G95" s="2" t="s">
        <v>38</v>
      </c>
      <c r="H95" s="2" t="s">
        <v>335</v>
      </c>
      <c r="I95" s="2">
        <v>83855</v>
      </c>
      <c r="J95" s="2" t="s">
        <v>40</v>
      </c>
      <c r="K95" s="2" t="s">
        <v>336</v>
      </c>
      <c r="L95" s="2" t="s">
        <v>42</v>
      </c>
      <c r="M95" s="2" t="str">
        <f>VLOOKUP(F95,Departments!$A$1:$C$6,2,0)</f>
        <v>HR</v>
      </c>
      <c r="N95" s="2" t="str">
        <f>INDEX(Departments!$B$1:$B$6, MATCH(Employees!F95, Departments!$A$1:$A$6, 0))</f>
        <v>HR</v>
      </c>
      <c r="O95" s="3" t="str">
        <f>INDEX(Departments!$B$2:$B$6,MATCH(Employees!F95,Departments!$A$2:$A$6,0))</f>
        <v>HR</v>
      </c>
      <c r="P95" s="3">
        <f>INDEX(Performance!$C$2:$C$501,MATCH(Employees!A95,Performance!$A$2:$A$501,0))</f>
        <v>1</v>
      </c>
      <c r="Q95" s="4">
        <f t="shared" si="1"/>
        <v>4192.75</v>
      </c>
    </row>
    <row r="96" spans="1:17" hidden="1" x14ac:dyDescent="0.25">
      <c r="A96" s="2" t="s">
        <v>337</v>
      </c>
      <c r="B96" s="2" t="s">
        <v>100</v>
      </c>
      <c r="C96" s="2" t="s">
        <v>69</v>
      </c>
      <c r="D96" s="2" t="s">
        <v>29</v>
      </c>
      <c r="E96" s="2">
        <v>53</v>
      </c>
      <c r="F96" s="2" t="s">
        <v>37</v>
      </c>
      <c r="G96" s="2" t="s">
        <v>46</v>
      </c>
      <c r="H96" s="2" t="s">
        <v>338</v>
      </c>
      <c r="I96" s="2">
        <v>43725</v>
      </c>
      <c r="J96" s="2" t="s">
        <v>71</v>
      </c>
      <c r="K96" s="2" t="s">
        <v>339</v>
      </c>
      <c r="L96" s="2" t="s">
        <v>26</v>
      </c>
      <c r="M96" s="2" t="str">
        <f>VLOOKUP(F96,Departments!$A$1:$C$6,2,0)</f>
        <v>Sales</v>
      </c>
      <c r="N96" s="2" t="str">
        <f>INDEX(Departments!$B$1:$B$6, MATCH(Employees!F96, Departments!$A$1:$A$6, 0))</f>
        <v>Sales</v>
      </c>
      <c r="O96" s="3" t="str">
        <f>INDEX(Departments!$B$2:$B$6,MATCH(Employees!F96,Departments!$A$2:$A$6,0))</f>
        <v>Sales</v>
      </c>
      <c r="P96" s="3">
        <f>INDEX(Performance!$C$2:$C$501,MATCH(Employees!A96,Performance!$A$2:$A$501,0))</f>
        <v>2</v>
      </c>
      <c r="Q96" s="4">
        <f t="shared" si="1"/>
        <v>2186.25</v>
      </c>
    </row>
    <row r="97" spans="1:17" hidden="1" x14ac:dyDescent="0.25">
      <c r="A97" s="2" t="s">
        <v>340</v>
      </c>
      <c r="B97" s="2" t="s">
        <v>60</v>
      </c>
      <c r="C97" s="2" t="s">
        <v>51</v>
      </c>
      <c r="D97" s="2" t="s">
        <v>20</v>
      </c>
      <c r="E97" s="2">
        <v>24</v>
      </c>
      <c r="F97" s="2" t="s">
        <v>37</v>
      </c>
      <c r="G97" s="2" t="s">
        <v>46</v>
      </c>
      <c r="H97" s="2" t="s">
        <v>341</v>
      </c>
      <c r="I97" s="2">
        <v>104506</v>
      </c>
      <c r="J97" s="2" t="s">
        <v>71</v>
      </c>
      <c r="K97" s="2" t="s">
        <v>342</v>
      </c>
      <c r="L97" s="2" t="s">
        <v>26</v>
      </c>
      <c r="M97" s="2" t="str">
        <f>VLOOKUP(F97,Departments!$A$1:$C$6,2,0)</f>
        <v>Sales</v>
      </c>
      <c r="N97" s="2" t="str">
        <f>INDEX(Departments!$B$1:$B$6, MATCH(Employees!F97, Departments!$A$1:$A$6, 0))</f>
        <v>Sales</v>
      </c>
      <c r="O97" s="3" t="str">
        <f>INDEX(Departments!$B$2:$B$6,MATCH(Employees!F97,Departments!$A$2:$A$6,0))</f>
        <v>Sales</v>
      </c>
      <c r="P97" s="3">
        <f>INDEX(Performance!$C$2:$C$501,MATCH(Employees!A97,Performance!$A$2:$A$501,0))</f>
        <v>4</v>
      </c>
      <c r="Q97" s="4">
        <f t="shared" si="1"/>
        <v>10450.6</v>
      </c>
    </row>
    <row r="98" spans="1:17" hidden="1" x14ac:dyDescent="0.25">
      <c r="A98" s="2" t="s">
        <v>343</v>
      </c>
      <c r="B98" s="2" t="s">
        <v>44</v>
      </c>
      <c r="C98" s="2" t="s">
        <v>96</v>
      </c>
      <c r="D98" s="2" t="s">
        <v>20</v>
      </c>
      <c r="E98" s="2">
        <v>45</v>
      </c>
      <c r="F98" s="2" t="s">
        <v>30</v>
      </c>
      <c r="G98" s="2" t="s">
        <v>46</v>
      </c>
      <c r="H98" s="2" t="s">
        <v>344</v>
      </c>
      <c r="I98" s="2">
        <v>36873</v>
      </c>
      <c r="J98" s="2" t="s">
        <v>71</v>
      </c>
      <c r="K98" s="2" t="s">
        <v>345</v>
      </c>
      <c r="L98" s="2" t="s">
        <v>42</v>
      </c>
      <c r="M98" s="2" t="str">
        <f>VLOOKUP(F98,Departments!$A$1:$C$6,2,0)</f>
        <v>IT</v>
      </c>
      <c r="N98" s="2" t="str">
        <f>INDEX(Departments!$B$1:$B$6, MATCH(Employees!F98, Departments!$A$1:$A$6, 0))</f>
        <v>IT</v>
      </c>
      <c r="O98" s="3" t="str">
        <f>INDEX(Departments!$B$2:$B$6,MATCH(Employees!F98,Departments!$A$2:$A$6,0))</f>
        <v>IT</v>
      </c>
      <c r="P98" s="3">
        <f>INDEX(Performance!$C$2:$C$501,MATCH(Employees!A98,Performance!$A$2:$A$501,0))</f>
        <v>2</v>
      </c>
      <c r="Q98" s="4">
        <f t="shared" si="1"/>
        <v>1843.65</v>
      </c>
    </row>
    <row r="99" spans="1:17" hidden="1" x14ac:dyDescent="0.25">
      <c r="A99" s="2" t="s">
        <v>346</v>
      </c>
      <c r="B99" s="2" t="s">
        <v>18</v>
      </c>
      <c r="C99" s="2" t="s">
        <v>96</v>
      </c>
      <c r="D99" s="2" t="s">
        <v>29</v>
      </c>
      <c r="E99" s="2">
        <v>25</v>
      </c>
      <c r="F99" s="2" t="s">
        <v>45</v>
      </c>
      <c r="G99" s="2" t="s">
        <v>46</v>
      </c>
      <c r="H99" s="2" t="s">
        <v>347</v>
      </c>
      <c r="I99" s="2">
        <v>50051</v>
      </c>
      <c r="J99" s="2" t="s">
        <v>24</v>
      </c>
      <c r="K99" s="2" t="s">
        <v>348</v>
      </c>
      <c r="L99" s="2" t="s">
        <v>26</v>
      </c>
      <c r="M99" s="2" t="str">
        <f>VLOOKUP(F99,Departments!$A$1:$C$6,2,0)</f>
        <v>Marketing</v>
      </c>
      <c r="N99" s="2" t="str">
        <f>INDEX(Departments!$B$1:$B$6, MATCH(Employees!F99, Departments!$A$1:$A$6, 0))</f>
        <v>Marketing</v>
      </c>
      <c r="O99" s="3" t="str">
        <f>INDEX(Departments!$B$2:$B$6,MATCH(Employees!F99,Departments!$A$2:$A$6,0))</f>
        <v>Marketing</v>
      </c>
      <c r="P99" s="3">
        <f>INDEX(Performance!$C$2:$C$501,MATCH(Employees!A99,Performance!$A$2:$A$501,0))</f>
        <v>2</v>
      </c>
      <c r="Q99" s="4">
        <f t="shared" si="1"/>
        <v>2502.5500000000002</v>
      </c>
    </row>
    <row r="100" spans="1:17" hidden="1" x14ac:dyDescent="0.25">
      <c r="A100" s="2" t="s">
        <v>349</v>
      </c>
      <c r="B100" s="2" t="s">
        <v>44</v>
      </c>
      <c r="C100" s="2" t="s">
        <v>84</v>
      </c>
      <c r="D100" s="2" t="s">
        <v>29</v>
      </c>
      <c r="E100" s="2">
        <v>42</v>
      </c>
      <c r="F100" s="2" t="s">
        <v>37</v>
      </c>
      <c r="G100" s="2" t="s">
        <v>46</v>
      </c>
      <c r="H100" s="2" t="s">
        <v>350</v>
      </c>
      <c r="I100" s="2">
        <v>42571</v>
      </c>
      <c r="J100" s="2" t="s">
        <v>40</v>
      </c>
      <c r="K100" s="2" t="s">
        <v>351</v>
      </c>
      <c r="L100" s="2" t="s">
        <v>42</v>
      </c>
      <c r="M100" s="2" t="str">
        <f>VLOOKUP(F100,Departments!$A$1:$C$6,2,0)</f>
        <v>Sales</v>
      </c>
      <c r="N100" s="2" t="str">
        <f>INDEX(Departments!$B$1:$B$6, MATCH(Employees!F100, Departments!$A$1:$A$6, 0))</f>
        <v>Sales</v>
      </c>
      <c r="O100" s="3" t="str">
        <f>INDEX(Departments!$B$2:$B$6,MATCH(Employees!F100,Departments!$A$2:$A$6,0))</f>
        <v>Sales</v>
      </c>
      <c r="P100" s="3">
        <f>INDEX(Performance!$C$2:$C$501,MATCH(Employees!A100,Performance!$A$2:$A$501,0))</f>
        <v>4</v>
      </c>
      <c r="Q100" s="4">
        <f t="shared" si="1"/>
        <v>4257.1000000000004</v>
      </c>
    </row>
    <row r="101" spans="1:17" hidden="1" x14ac:dyDescent="0.25">
      <c r="A101" s="2" t="s">
        <v>352</v>
      </c>
      <c r="B101" s="2" t="s">
        <v>44</v>
      </c>
      <c r="C101" s="2" t="s">
        <v>28</v>
      </c>
      <c r="D101" s="2" t="s">
        <v>29</v>
      </c>
      <c r="E101" s="2">
        <v>60</v>
      </c>
      <c r="F101" s="2" t="s">
        <v>56</v>
      </c>
      <c r="G101" s="2" t="s">
        <v>22</v>
      </c>
      <c r="H101" s="2" t="s">
        <v>353</v>
      </c>
      <c r="I101" s="2">
        <v>60616</v>
      </c>
      <c r="J101" s="2" t="s">
        <v>86</v>
      </c>
      <c r="K101" s="2" t="s">
        <v>354</v>
      </c>
      <c r="L101" s="2" t="s">
        <v>42</v>
      </c>
      <c r="M101" s="2" t="str">
        <f>VLOOKUP(F101,Departments!$A$1:$C$6,2,0)</f>
        <v>Finance</v>
      </c>
      <c r="N101" s="2" t="str">
        <f>INDEX(Departments!$B$1:$B$6, MATCH(Employees!F101, Departments!$A$1:$A$6, 0))</f>
        <v>Finance</v>
      </c>
      <c r="O101" s="3" t="str">
        <f>INDEX(Departments!$B$2:$B$6,MATCH(Employees!F101,Departments!$A$2:$A$6,0))</f>
        <v>Finance</v>
      </c>
      <c r="P101" s="3">
        <f>INDEX(Performance!$C$2:$C$501,MATCH(Employees!A101,Performance!$A$2:$A$501,0))</f>
        <v>1</v>
      </c>
      <c r="Q101" s="4">
        <f t="shared" si="1"/>
        <v>3030.8</v>
      </c>
    </row>
    <row r="102" spans="1:17" hidden="1" x14ac:dyDescent="0.25">
      <c r="A102" s="2" t="s">
        <v>355</v>
      </c>
      <c r="B102" s="2" t="s">
        <v>50</v>
      </c>
      <c r="C102" s="2" t="s">
        <v>101</v>
      </c>
      <c r="D102" s="2" t="s">
        <v>29</v>
      </c>
      <c r="E102" s="2">
        <v>57</v>
      </c>
      <c r="F102" s="2" t="s">
        <v>30</v>
      </c>
      <c r="G102" s="2" t="s">
        <v>38</v>
      </c>
      <c r="H102" s="2" t="s">
        <v>356</v>
      </c>
      <c r="I102" s="2">
        <v>75929</v>
      </c>
      <c r="J102" s="2" t="s">
        <v>24</v>
      </c>
      <c r="K102" s="2" t="s">
        <v>357</v>
      </c>
      <c r="L102" s="2" t="s">
        <v>42</v>
      </c>
      <c r="M102" s="2" t="str">
        <f>VLOOKUP(F102,Departments!$A$1:$C$6,2,0)</f>
        <v>IT</v>
      </c>
      <c r="N102" s="2" t="str">
        <f>INDEX(Departments!$B$1:$B$6, MATCH(Employees!F102, Departments!$A$1:$A$6, 0))</f>
        <v>IT</v>
      </c>
      <c r="O102" s="3" t="str">
        <f>INDEX(Departments!$B$2:$B$6,MATCH(Employees!F102,Departments!$A$2:$A$6,0))</f>
        <v>IT</v>
      </c>
      <c r="P102" s="3">
        <f>INDEX(Performance!$C$2:$C$501,MATCH(Employees!A102,Performance!$A$2:$A$501,0))</f>
        <v>5</v>
      </c>
      <c r="Q102" s="4">
        <f t="shared" si="1"/>
        <v>11389.35</v>
      </c>
    </row>
    <row r="103" spans="1:17" hidden="1" x14ac:dyDescent="0.25">
      <c r="A103" s="2" t="s">
        <v>358</v>
      </c>
      <c r="B103" s="2" t="s">
        <v>77</v>
      </c>
      <c r="C103" s="2" t="s">
        <v>89</v>
      </c>
      <c r="D103" s="2" t="s">
        <v>29</v>
      </c>
      <c r="E103" s="2">
        <v>43</v>
      </c>
      <c r="F103" s="2" t="s">
        <v>56</v>
      </c>
      <c r="G103" s="2" t="s">
        <v>114</v>
      </c>
      <c r="H103" s="2" t="s">
        <v>359</v>
      </c>
      <c r="I103" s="2">
        <v>106165</v>
      </c>
      <c r="J103" s="2" t="s">
        <v>86</v>
      </c>
      <c r="K103" s="2" t="s">
        <v>360</v>
      </c>
      <c r="L103" s="2" t="s">
        <v>42</v>
      </c>
      <c r="M103" s="2" t="str">
        <f>VLOOKUP(F103,Departments!$A$1:$C$6,2,0)</f>
        <v>Finance</v>
      </c>
      <c r="N103" s="2" t="str">
        <f>INDEX(Departments!$B$1:$B$6, MATCH(Employees!F103, Departments!$A$1:$A$6, 0))</f>
        <v>Finance</v>
      </c>
      <c r="O103" s="3" t="str">
        <f>INDEX(Departments!$B$2:$B$6,MATCH(Employees!F103,Departments!$A$2:$A$6,0))</f>
        <v>Finance</v>
      </c>
      <c r="P103" s="3">
        <f>INDEX(Performance!$C$2:$C$501,MATCH(Employees!A103,Performance!$A$2:$A$501,0))</f>
        <v>5</v>
      </c>
      <c r="Q103" s="4">
        <f t="shared" si="1"/>
        <v>15924.75</v>
      </c>
    </row>
    <row r="104" spans="1:17" hidden="1" x14ac:dyDescent="0.25">
      <c r="A104" s="2" t="s">
        <v>361</v>
      </c>
      <c r="B104" s="2" t="s">
        <v>55</v>
      </c>
      <c r="C104" s="2" t="s">
        <v>28</v>
      </c>
      <c r="D104" s="2" t="s">
        <v>29</v>
      </c>
      <c r="E104" s="2">
        <v>23</v>
      </c>
      <c r="F104" s="2" t="s">
        <v>56</v>
      </c>
      <c r="G104" s="2" t="s">
        <v>31</v>
      </c>
      <c r="H104" s="2" t="s">
        <v>362</v>
      </c>
      <c r="I104" s="2">
        <v>44946</v>
      </c>
      <c r="J104" s="2" t="s">
        <v>66</v>
      </c>
      <c r="K104" s="2" t="s">
        <v>363</v>
      </c>
      <c r="L104" s="2" t="s">
        <v>42</v>
      </c>
      <c r="M104" s="2" t="str">
        <f>VLOOKUP(F104,Departments!$A$1:$C$6,2,0)</f>
        <v>Finance</v>
      </c>
      <c r="N104" s="2" t="str">
        <f>INDEX(Departments!$B$1:$B$6, MATCH(Employees!F104, Departments!$A$1:$A$6, 0))</f>
        <v>Finance</v>
      </c>
      <c r="O104" s="3" t="str">
        <f>INDEX(Departments!$B$2:$B$6,MATCH(Employees!F104,Departments!$A$2:$A$6,0))</f>
        <v>Finance</v>
      </c>
      <c r="P104" s="3">
        <f>INDEX(Performance!$C$2:$C$501,MATCH(Employees!A104,Performance!$A$2:$A$501,0))</f>
        <v>5</v>
      </c>
      <c r="Q104" s="4">
        <f t="shared" si="1"/>
        <v>6741.9</v>
      </c>
    </row>
    <row r="105" spans="1:17" hidden="1" x14ac:dyDescent="0.25">
      <c r="A105" s="2" t="s">
        <v>364</v>
      </c>
      <c r="B105" s="2" t="s">
        <v>36</v>
      </c>
      <c r="C105" s="2" t="s">
        <v>96</v>
      </c>
      <c r="D105" s="2" t="s">
        <v>20</v>
      </c>
      <c r="E105" s="2">
        <v>32</v>
      </c>
      <c r="F105" s="2" t="s">
        <v>21</v>
      </c>
      <c r="G105" s="2" t="s">
        <v>31</v>
      </c>
      <c r="H105" s="2" t="s">
        <v>365</v>
      </c>
      <c r="I105" s="2">
        <v>64572</v>
      </c>
      <c r="J105" s="2" t="s">
        <v>86</v>
      </c>
      <c r="K105" s="2" t="s">
        <v>366</v>
      </c>
      <c r="L105" s="2" t="s">
        <v>26</v>
      </c>
      <c r="M105" s="2" t="str">
        <f>VLOOKUP(F105,Departments!$A$1:$C$6,2,0)</f>
        <v>HR</v>
      </c>
      <c r="N105" s="2" t="str">
        <f>INDEX(Departments!$B$1:$B$6, MATCH(Employees!F105, Departments!$A$1:$A$6, 0))</f>
        <v>HR</v>
      </c>
      <c r="O105" s="3" t="str">
        <f>INDEX(Departments!$B$2:$B$6,MATCH(Employees!F105,Departments!$A$2:$A$6,0))</f>
        <v>HR</v>
      </c>
      <c r="P105" s="3">
        <f>INDEX(Performance!$C$2:$C$501,MATCH(Employees!A105,Performance!$A$2:$A$501,0))</f>
        <v>3</v>
      </c>
      <c r="Q105" s="4">
        <f t="shared" si="1"/>
        <v>4520.0400000000009</v>
      </c>
    </row>
    <row r="106" spans="1:17" hidden="1" x14ac:dyDescent="0.25">
      <c r="A106" s="2" t="s">
        <v>367</v>
      </c>
      <c r="B106" s="2" t="s">
        <v>100</v>
      </c>
      <c r="C106" s="2" t="s">
        <v>19</v>
      </c>
      <c r="D106" s="2" t="s">
        <v>29</v>
      </c>
      <c r="E106" s="2">
        <v>56</v>
      </c>
      <c r="F106" s="2" t="s">
        <v>21</v>
      </c>
      <c r="G106" s="2" t="s">
        <v>46</v>
      </c>
      <c r="H106" s="2" t="s">
        <v>368</v>
      </c>
      <c r="I106" s="2">
        <v>74825</v>
      </c>
      <c r="J106" s="2" t="s">
        <v>86</v>
      </c>
      <c r="K106" s="2" t="s">
        <v>369</v>
      </c>
      <c r="L106" s="2" t="s">
        <v>26</v>
      </c>
      <c r="M106" s="2" t="str">
        <f>VLOOKUP(F106,Departments!$A$1:$C$6,2,0)</f>
        <v>HR</v>
      </c>
      <c r="N106" s="2" t="str">
        <f>INDEX(Departments!$B$1:$B$6, MATCH(Employees!F106, Departments!$A$1:$A$6, 0))</f>
        <v>HR</v>
      </c>
      <c r="O106" s="3" t="str">
        <f>INDEX(Departments!$B$2:$B$6,MATCH(Employees!F106,Departments!$A$2:$A$6,0))</f>
        <v>HR</v>
      </c>
      <c r="P106" s="3">
        <f>INDEX(Performance!$C$2:$C$501,MATCH(Employees!A106,Performance!$A$2:$A$501,0))</f>
        <v>3</v>
      </c>
      <c r="Q106" s="4">
        <f t="shared" si="1"/>
        <v>5237.7500000000009</v>
      </c>
    </row>
    <row r="107" spans="1:17" hidden="1" x14ac:dyDescent="0.25">
      <c r="A107" s="2" t="s">
        <v>370</v>
      </c>
      <c r="B107" s="2" t="s">
        <v>149</v>
      </c>
      <c r="C107" s="2" t="s">
        <v>51</v>
      </c>
      <c r="D107" s="2" t="s">
        <v>29</v>
      </c>
      <c r="E107" s="2">
        <v>27</v>
      </c>
      <c r="F107" s="2" t="s">
        <v>56</v>
      </c>
      <c r="G107" s="2" t="s">
        <v>22</v>
      </c>
      <c r="H107" s="2" t="s">
        <v>371</v>
      </c>
      <c r="I107" s="2">
        <v>52495</v>
      </c>
      <c r="J107" s="2" t="s">
        <v>71</v>
      </c>
      <c r="K107" s="2" t="s">
        <v>372</v>
      </c>
      <c r="L107" s="2" t="s">
        <v>26</v>
      </c>
      <c r="M107" s="2" t="str">
        <f>VLOOKUP(F107,Departments!$A$1:$C$6,2,0)</f>
        <v>Finance</v>
      </c>
      <c r="N107" s="2" t="str">
        <f>INDEX(Departments!$B$1:$B$6, MATCH(Employees!F107, Departments!$A$1:$A$6, 0))</f>
        <v>Finance</v>
      </c>
      <c r="O107" s="3" t="str">
        <f>INDEX(Departments!$B$2:$B$6,MATCH(Employees!F107,Departments!$A$2:$A$6,0))</f>
        <v>Finance</v>
      </c>
      <c r="P107" s="3">
        <f>INDEX(Performance!$C$2:$C$501,MATCH(Employees!A107,Performance!$A$2:$A$501,0))</f>
        <v>5</v>
      </c>
      <c r="Q107" s="4">
        <f t="shared" si="1"/>
        <v>7874.25</v>
      </c>
    </row>
    <row r="108" spans="1:17" x14ac:dyDescent="0.25">
      <c r="A108" s="2" t="s">
        <v>373</v>
      </c>
      <c r="B108" s="2" t="s">
        <v>149</v>
      </c>
      <c r="C108" s="2" t="s">
        <v>69</v>
      </c>
      <c r="D108" s="2" t="s">
        <v>29</v>
      </c>
      <c r="E108" s="2">
        <v>27</v>
      </c>
      <c r="F108" s="2" t="s">
        <v>37</v>
      </c>
      <c r="G108" s="2" t="s">
        <v>22</v>
      </c>
      <c r="H108" s="2" t="s">
        <v>374</v>
      </c>
      <c r="I108" s="2">
        <v>90958</v>
      </c>
      <c r="J108" s="2" t="s">
        <v>24</v>
      </c>
      <c r="K108" s="2" t="s">
        <v>375</v>
      </c>
      <c r="L108" s="2" t="s">
        <v>42</v>
      </c>
      <c r="M108" s="2" t="str">
        <f>VLOOKUP(F108,Departments!$A$1:$C$6,2,0)</f>
        <v>Sales</v>
      </c>
      <c r="N108" s="2" t="str">
        <f>INDEX(Departments!$B$1:$B$6, MATCH(Employees!F108, Departments!$A$1:$A$6, 0))</f>
        <v>Sales</v>
      </c>
      <c r="O108" s="6" t="str">
        <f>INDEX(Departments!$B$2:$B$6,MATCH(Employees!F108,Departments!$A$2:$A$6,0))</f>
        <v>Sales</v>
      </c>
      <c r="P108" s="6">
        <f>_xlfn.XLOOKUP(A108,Performance!$A$2:$A$501,Performance!$C$2:$C$501)</f>
        <v>1</v>
      </c>
      <c r="Q108" s="7">
        <f t="shared" si="1"/>
        <v>4547.9000000000005</v>
      </c>
    </row>
    <row r="109" spans="1:17" hidden="1" x14ac:dyDescent="0.25">
      <c r="A109" s="2" t="s">
        <v>376</v>
      </c>
      <c r="B109" s="2" t="s">
        <v>149</v>
      </c>
      <c r="C109" s="2" t="s">
        <v>89</v>
      </c>
      <c r="D109" s="2" t="s">
        <v>20</v>
      </c>
      <c r="E109" s="2">
        <v>58</v>
      </c>
      <c r="F109" s="2" t="s">
        <v>45</v>
      </c>
      <c r="G109" s="2" t="s">
        <v>46</v>
      </c>
      <c r="H109" s="2" t="s">
        <v>377</v>
      </c>
      <c r="I109" s="2">
        <v>51096</v>
      </c>
      <c r="J109" s="2" t="s">
        <v>24</v>
      </c>
      <c r="K109" s="2" t="s">
        <v>378</v>
      </c>
      <c r="L109" s="2" t="s">
        <v>42</v>
      </c>
      <c r="M109" s="2" t="str">
        <f>VLOOKUP(F109,Departments!$A$1:$C$6,2,0)</f>
        <v>Marketing</v>
      </c>
      <c r="N109" s="2" t="str">
        <f>INDEX(Departments!$B$1:$B$6, MATCH(Employees!F109, Departments!$A$1:$A$6, 0))</f>
        <v>Marketing</v>
      </c>
      <c r="O109" s="3" t="str">
        <f>INDEX(Departments!$B$2:$B$6,MATCH(Employees!F109,Departments!$A$2:$A$6,0))</f>
        <v>Marketing</v>
      </c>
      <c r="P109" s="3">
        <f>INDEX(Performance!$C$2:$C$501,MATCH(Employees!A109,Performance!$A$2:$A$501,0))</f>
        <v>1</v>
      </c>
      <c r="Q109" s="4">
        <f t="shared" si="1"/>
        <v>2554.8000000000002</v>
      </c>
    </row>
    <row r="110" spans="1:17" hidden="1" x14ac:dyDescent="0.25">
      <c r="A110" s="2" t="s">
        <v>379</v>
      </c>
      <c r="B110" s="2" t="s">
        <v>64</v>
      </c>
      <c r="C110" s="2" t="s">
        <v>101</v>
      </c>
      <c r="D110" s="2" t="s">
        <v>20</v>
      </c>
      <c r="E110" s="2">
        <v>58</v>
      </c>
      <c r="F110" s="2" t="s">
        <v>56</v>
      </c>
      <c r="G110" s="2" t="s">
        <v>114</v>
      </c>
      <c r="H110" s="2" t="s">
        <v>380</v>
      </c>
      <c r="I110" s="2">
        <v>90458</v>
      </c>
      <c r="J110" s="2" t="s">
        <v>24</v>
      </c>
      <c r="K110" s="2" t="s">
        <v>381</v>
      </c>
      <c r="L110" s="2" t="s">
        <v>26</v>
      </c>
      <c r="M110" s="2" t="str">
        <f>VLOOKUP(F110,Departments!$A$1:$C$6,2,0)</f>
        <v>Finance</v>
      </c>
      <c r="N110" s="2" t="str">
        <f>INDEX(Departments!$B$1:$B$6, MATCH(Employees!F110, Departments!$A$1:$A$6, 0))</f>
        <v>Finance</v>
      </c>
      <c r="O110" s="3" t="str">
        <f>INDEX(Departments!$B$2:$B$6,MATCH(Employees!F110,Departments!$A$2:$A$6,0))</f>
        <v>Finance</v>
      </c>
      <c r="P110" s="3">
        <f>INDEX(Performance!$C$2:$C$501,MATCH(Employees!A110,Performance!$A$2:$A$501,0))</f>
        <v>3</v>
      </c>
      <c r="Q110" s="4">
        <f t="shared" si="1"/>
        <v>6332.06</v>
      </c>
    </row>
    <row r="111" spans="1:17" hidden="1" x14ac:dyDescent="0.25">
      <c r="A111" s="2" t="s">
        <v>382</v>
      </c>
      <c r="B111" s="2" t="s">
        <v>149</v>
      </c>
      <c r="C111" s="2" t="s">
        <v>136</v>
      </c>
      <c r="D111" s="2" t="s">
        <v>29</v>
      </c>
      <c r="E111" s="2">
        <v>39</v>
      </c>
      <c r="F111" s="2" t="s">
        <v>37</v>
      </c>
      <c r="G111" s="2" t="s">
        <v>22</v>
      </c>
      <c r="H111" s="2" t="s">
        <v>383</v>
      </c>
      <c r="I111" s="2">
        <v>67338</v>
      </c>
      <c r="J111" s="2" t="s">
        <v>40</v>
      </c>
      <c r="K111" s="2" t="s">
        <v>384</v>
      </c>
      <c r="L111" s="2" t="s">
        <v>42</v>
      </c>
      <c r="M111" s="2" t="str">
        <f>VLOOKUP(F111,Departments!$A$1:$C$6,2,0)</f>
        <v>Sales</v>
      </c>
      <c r="N111" s="2" t="str">
        <f>INDEX(Departments!$B$1:$B$6, MATCH(Employees!F111, Departments!$A$1:$A$6, 0))</f>
        <v>Sales</v>
      </c>
      <c r="O111" s="3" t="str">
        <f>INDEX(Departments!$B$2:$B$6,MATCH(Employees!F111,Departments!$A$2:$A$6,0))</f>
        <v>Sales</v>
      </c>
      <c r="P111" s="3">
        <f>INDEX(Performance!$C$2:$C$501,MATCH(Employees!A111,Performance!$A$2:$A$501,0))</f>
        <v>4</v>
      </c>
      <c r="Q111" s="4">
        <f t="shared" si="1"/>
        <v>6733.8</v>
      </c>
    </row>
    <row r="112" spans="1:17" hidden="1" x14ac:dyDescent="0.25">
      <c r="A112" s="2" t="s">
        <v>385</v>
      </c>
      <c r="B112" s="2" t="s">
        <v>18</v>
      </c>
      <c r="C112" s="2" t="s">
        <v>19</v>
      </c>
      <c r="D112" s="2" t="s">
        <v>20</v>
      </c>
      <c r="E112" s="2">
        <v>40</v>
      </c>
      <c r="F112" s="2" t="s">
        <v>30</v>
      </c>
      <c r="G112" s="2" t="s">
        <v>46</v>
      </c>
      <c r="H112" s="2" t="s">
        <v>386</v>
      </c>
      <c r="I112" s="2">
        <v>106100</v>
      </c>
      <c r="J112" s="2" t="s">
        <v>40</v>
      </c>
      <c r="K112" s="2" t="s">
        <v>387</v>
      </c>
      <c r="L112" s="2" t="s">
        <v>42</v>
      </c>
      <c r="M112" s="2" t="str">
        <f>VLOOKUP(F112,Departments!$A$1:$C$6,2,0)</f>
        <v>IT</v>
      </c>
      <c r="N112" s="2" t="str">
        <f>INDEX(Departments!$B$1:$B$6, MATCH(Employees!F112, Departments!$A$1:$A$6, 0))</f>
        <v>IT</v>
      </c>
      <c r="O112" s="3" t="str">
        <f>INDEX(Departments!$B$2:$B$6,MATCH(Employees!F112,Departments!$A$2:$A$6,0))</f>
        <v>IT</v>
      </c>
      <c r="P112" s="3">
        <f>INDEX(Performance!$C$2:$C$501,MATCH(Employees!A112,Performance!$A$2:$A$501,0))</f>
        <v>5</v>
      </c>
      <c r="Q112" s="4">
        <f t="shared" si="1"/>
        <v>15915</v>
      </c>
    </row>
    <row r="113" spans="1:17" hidden="1" x14ac:dyDescent="0.25">
      <c r="A113" s="2" t="s">
        <v>388</v>
      </c>
      <c r="B113" s="2" t="s">
        <v>18</v>
      </c>
      <c r="C113" s="2" t="s">
        <v>84</v>
      </c>
      <c r="D113" s="2" t="s">
        <v>29</v>
      </c>
      <c r="E113" s="2">
        <v>45</v>
      </c>
      <c r="F113" s="2" t="s">
        <v>21</v>
      </c>
      <c r="G113" s="2" t="s">
        <v>22</v>
      </c>
      <c r="H113" s="2" t="s">
        <v>389</v>
      </c>
      <c r="I113" s="2">
        <v>62840</v>
      </c>
      <c r="J113" s="2" t="s">
        <v>66</v>
      </c>
      <c r="K113" s="2" t="s">
        <v>390</v>
      </c>
      <c r="L113" s="2" t="s">
        <v>42</v>
      </c>
      <c r="M113" s="2" t="str">
        <f>VLOOKUP(F113,Departments!$A$1:$C$6,2,0)</f>
        <v>HR</v>
      </c>
      <c r="N113" s="2" t="str">
        <f>INDEX(Departments!$B$1:$B$6, MATCH(Employees!F113, Departments!$A$1:$A$6, 0))</f>
        <v>HR</v>
      </c>
      <c r="O113" s="3" t="str">
        <f>INDEX(Departments!$B$2:$B$6,MATCH(Employees!F113,Departments!$A$2:$A$6,0))</f>
        <v>HR</v>
      </c>
      <c r="P113" s="3">
        <f>INDEX(Performance!$C$2:$C$501,MATCH(Employees!A113,Performance!$A$2:$A$501,0))</f>
        <v>2</v>
      </c>
      <c r="Q113" s="4">
        <f t="shared" si="1"/>
        <v>3142</v>
      </c>
    </row>
    <row r="114" spans="1:17" hidden="1" x14ac:dyDescent="0.25">
      <c r="A114" s="2" t="s">
        <v>391</v>
      </c>
      <c r="B114" s="2" t="s">
        <v>77</v>
      </c>
      <c r="C114" s="2" t="s">
        <v>136</v>
      </c>
      <c r="D114" s="2" t="s">
        <v>29</v>
      </c>
      <c r="E114" s="2">
        <v>48</v>
      </c>
      <c r="F114" s="2" t="s">
        <v>21</v>
      </c>
      <c r="G114" s="2" t="s">
        <v>38</v>
      </c>
      <c r="H114" s="2" t="s">
        <v>392</v>
      </c>
      <c r="I114" s="2">
        <v>69569</v>
      </c>
      <c r="J114" s="2" t="s">
        <v>40</v>
      </c>
      <c r="K114" s="2" t="s">
        <v>393</v>
      </c>
      <c r="L114" s="2" t="s">
        <v>42</v>
      </c>
      <c r="M114" s="2" t="str">
        <f>VLOOKUP(F114,Departments!$A$1:$C$6,2,0)</f>
        <v>HR</v>
      </c>
      <c r="N114" s="2" t="str">
        <f>INDEX(Departments!$B$1:$B$6, MATCH(Employees!F114, Departments!$A$1:$A$6, 0))</f>
        <v>HR</v>
      </c>
      <c r="O114" s="3" t="str">
        <f>INDEX(Departments!$B$2:$B$6,MATCH(Employees!F114,Departments!$A$2:$A$6,0))</f>
        <v>HR</v>
      </c>
      <c r="P114" s="3">
        <f>INDEX(Performance!$C$2:$C$501,MATCH(Employees!A114,Performance!$A$2:$A$501,0))</f>
        <v>5</v>
      </c>
      <c r="Q114" s="4">
        <f t="shared" si="1"/>
        <v>10435.35</v>
      </c>
    </row>
    <row r="115" spans="1:17" hidden="1" x14ac:dyDescent="0.25">
      <c r="A115" s="2" t="s">
        <v>394</v>
      </c>
      <c r="B115" s="2" t="s">
        <v>44</v>
      </c>
      <c r="C115" s="2" t="s">
        <v>101</v>
      </c>
      <c r="D115" s="2" t="s">
        <v>20</v>
      </c>
      <c r="E115" s="2">
        <v>23</v>
      </c>
      <c r="F115" s="2" t="s">
        <v>37</v>
      </c>
      <c r="G115" s="2" t="s">
        <v>22</v>
      </c>
      <c r="H115" s="2" t="s">
        <v>395</v>
      </c>
      <c r="I115" s="2">
        <v>109099</v>
      </c>
      <c r="J115" s="2" t="s">
        <v>86</v>
      </c>
      <c r="K115" s="2" t="s">
        <v>396</v>
      </c>
      <c r="L115" s="2" t="s">
        <v>26</v>
      </c>
      <c r="M115" s="2" t="str">
        <f>VLOOKUP(F115,Departments!$A$1:$C$6,2,0)</f>
        <v>Sales</v>
      </c>
      <c r="N115" s="2" t="str">
        <f>INDEX(Departments!$B$1:$B$6, MATCH(Employees!F115, Departments!$A$1:$A$6, 0))</f>
        <v>Sales</v>
      </c>
      <c r="O115" s="3" t="str">
        <f>INDEX(Departments!$B$2:$B$6,MATCH(Employees!F115,Departments!$A$2:$A$6,0))</f>
        <v>Sales</v>
      </c>
      <c r="P115" s="3">
        <f>INDEX(Performance!$C$2:$C$501,MATCH(Employees!A115,Performance!$A$2:$A$501,0))</f>
        <v>3</v>
      </c>
      <c r="Q115" s="4">
        <f t="shared" si="1"/>
        <v>7636.93</v>
      </c>
    </row>
    <row r="116" spans="1:17" hidden="1" x14ac:dyDescent="0.25">
      <c r="A116" s="2" t="s">
        <v>397</v>
      </c>
      <c r="B116" s="2" t="s">
        <v>60</v>
      </c>
      <c r="C116" s="2" t="s">
        <v>28</v>
      </c>
      <c r="D116" s="2" t="s">
        <v>20</v>
      </c>
      <c r="E116" s="2">
        <v>30</v>
      </c>
      <c r="F116" s="2" t="s">
        <v>30</v>
      </c>
      <c r="G116" s="2" t="s">
        <v>46</v>
      </c>
      <c r="H116" s="2" t="s">
        <v>398</v>
      </c>
      <c r="I116" s="2">
        <v>74368</v>
      </c>
      <c r="J116" s="2" t="s">
        <v>66</v>
      </c>
      <c r="K116" s="2" t="s">
        <v>399</v>
      </c>
      <c r="L116" s="2" t="s">
        <v>42</v>
      </c>
      <c r="M116" s="2" t="str">
        <f>VLOOKUP(F116,Departments!$A$1:$C$6,2,0)</f>
        <v>IT</v>
      </c>
      <c r="N116" s="2" t="str">
        <f>INDEX(Departments!$B$1:$B$6, MATCH(Employees!F116, Departments!$A$1:$A$6, 0))</f>
        <v>IT</v>
      </c>
      <c r="O116" s="3" t="str">
        <f>INDEX(Departments!$B$2:$B$6,MATCH(Employees!F116,Departments!$A$2:$A$6,0))</f>
        <v>IT</v>
      </c>
      <c r="P116" s="3">
        <f>INDEX(Performance!$C$2:$C$501,MATCH(Employees!A116,Performance!$A$2:$A$501,0))</f>
        <v>1</v>
      </c>
      <c r="Q116" s="4">
        <f t="shared" si="1"/>
        <v>3718.4</v>
      </c>
    </row>
    <row r="117" spans="1:17" hidden="1" x14ac:dyDescent="0.25">
      <c r="A117" s="2" t="s">
        <v>400</v>
      </c>
      <c r="B117" s="2" t="s">
        <v>36</v>
      </c>
      <c r="C117" s="2" t="s">
        <v>136</v>
      </c>
      <c r="D117" s="2" t="s">
        <v>29</v>
      </c>
      <c r="E117" s="2">
        <v>58</v>
      </c>
      <c r="F117" s="2" t="s">
        <v>45</v>
      </c>
      <c r="G117" s="2" t="s">
        <v>38</v>
      </c>
      <c r="H117" s="2" t="s">
        <v>401</v>
      </c>
      <c r="I117" s="2">
        <v>111621</v>
      </c>
      <c r="J117" s="2" t="s">
        <v>66</v>
      </c>
      <c r="K117" s="2" t="s">
        <v>402</v>
      </c>
      <c r="L117" s="2" t="s">
        <v>26</v>
      </c>
      <c r="M117" s="2" t="str">
        <f>VLOOKUP(F117,Departments!$A$1:$C$6,2,0)</f>
        <v>Marketing</v>
      </c>
      <c r="N117" s="2" t="str">
        <f>INDEX(Departments!$B$1:$B$6, MATCH(Employees!F117, Departments!$A$1:$A$6, 0))</f>
        <v>Marketing</v>
      </c>
      <c r="O117" s="3" t="str">
        <f>INDEX(Departments!$B$2:$B$6,MATCH(Employees!F117,Departments!$A$2:$A$6,0))</f>
        <v>Marketing</v>
      </c>
      <c r="P117" s="3">
        <f>INDEX(Performance!$C$2:$C$501,MATCH(Employees!A117,Performance!$A$2:$A$501,0))</f>
        <v>5</v>
      </c>
      <c r="Q117" s="4">
        <f t="shared" si="1"/>
        <v>16743.149999999998</v>
      </c>
    </row>
    <row r="118" spans="1:17" hidden="1" x14ac:dyDescent="0.25">
      <c r="A118" s="2" t="s">
        <v>403</v>
      </c>
      <c r="B118" s="2" t="s">
        <v>149</v>
      </c>
      <c r="C118" s="2" t="s">
        <v>89</v>
      </c>
      <c r="D118" s="2" t="s">
        <v>20</v>
      </c>
      <c r="E118" s="2">
        <v>32</v>
      </c>
      <c r="F118" s="2" t="s">
        <v>56</v>
      </c>
      <c r="G118" s="2" t="s">
        <v>38</v>
      </c>
      <c r="H118" s="2" t="s">
        <v>344</v>
      </c>
      <c r="I118" s="2">
        <v>82446</v>
      </c>
      <c r="J118" s="2" t="s">
        <v>71</v>
      </c>
      <c r="K118" s="2" t="s">
        <v>404</v>
      </c>
      <c r="L118" s="2" t="s">
        <v>26</v>
      </c>
      <c r="M118" s="2" t="str">
        <f>VLOOKUP(F118,Departments!$A$1:$C$6,2,0)</f>
        <v>Finance</v>
      </c>
      <c r="N118" s="2" t="str">
        <f>INDEX(Departments!$B$1:$B$6, MATCH(Employees!F118, Departments!$A$1:$A$6, 0))</f>
        <v>Finance</v>
      </c>
      <c r="O118" s="3" t="str">
        <f>INDEX(Departments!$B$2:$B$6,MATCH(Employees!F118,Departments!$A$2:$A$6,0))</f>
        <v>Finance</v>
      </c>
      <c r="P118" s="3">
        <f>INDEX(Performance!$C$2:$C$501,MATCH(Employees!A118,Performance!$A$2:$A$501,0))</f>
        <v>1</v>
      </c>
      <c r="Q118" s="4">
        <f t="shared" si="1"/>
        <v>4122.3</v>
      </c>
    </row>
    <row r="119" spans="1:17" x14ac:dyDescent="0.25">
      <c r="A119" s="2" t="s">
        <v>405</v>
      </c>
      <c r="B119" s="2" t="s">
        <v>149</v>
      </c>
      <c r="C119" s="2" t="s">
        <v>84</v>
      </c>
      <c r="D119" s="2" t="s">
        <v>29</v>
      </c>
      <c r="E119" s="2">
        <v>24</v>
      </c>
      <c r="F119" s="2" t="s">
        <v>37</v>
      </c>
      <c r="G119" s="2" t="s">
        <v>22</v>
      </c>
      <c r="H119" s="2" t="s">
        <v>406</v>
      </c>
      <c r="I119" s="2">
        <v>99200</v>
      </c>
      <c r="J119" s="2" t="s">
        <v>24</v>
      </c>
      <c r="K119" s="2" t="s">
        <v>407</v>
      </c>
      <c r="L119" s="2" t="s">
        <v>42</v>
      </c>
      <c r="M119" s="2" t="str">
        <f>VLOOKUP(F119,Departments!$A$1:$C$6,2,0)</f>
        <v>Sales</v>
      </c>
      <c r="N119" s="2" t="str">
        <f>INDEX(Departments!$B$1:$B$6, MATCH(Employees!F119, Departments!$A$1:$A$6, 0))</f>
        <v>Sales</v>
      </c>
      <c r="O119" s="6" t="str">
        <f>INDEX(Departments!$B$2:$B$6,MATCH(Employees!F119,Departments!$A$2:$A$6,0))</f>
        <v>Sales</v>
      </c>
      <c r="P119" s="6">
        <f>_xlfn.XLOOKUP(A119,Performance!$A$2:$A$501,Performance!$C$2:$C$501)</f>
        <v>5</v>
      </c>
      <c r="Q119" s="7">
        <f t="shared" si="1"/>
        <v>14880</v>
      </c>
    </row>
    <row r="120" spans="1:17" hidden="1" x14ac:dyDescent="0.25">
      <c r="A120" s="2" t="s">
        <v>408</v>
      </c>
      <c r="B120" s="2" t="s">
        <v>50</v>
      </c>
      <c r="C120" s="2" t="s">
        <v>101</v>
      </c>
      <c r="D120" s="2" t="s">
        <v>29</v>
      </c>
      <c r="E120" s="2">
        <v>36</v>
      </c>
      <c r="F120" s="2" t="s">
        <v>56</v>
      </c>
      <c r="G120" s="2" t="s">
        <v>31</v>
      </c>
      <c r="H120" s="2" t="s">
        <v>409</v>
      </c>
      <c r="I120" s="2">
        <v>56294</v>
      </c>
      <c r="J120" s="2" t="s">
        <v>66</v>
      </c>
      <c r="K120" s="2" t="s">
        <v>410</v>
      </c>
      <c r="L120" s="2" t="s">
        <v>42</v>
      </c>
      <c r="M120" s="2" t="str">
        <f>VLOOKUP(F120,Departments!$A$1:$C$6,2,0)</f>
        <v>Finance</v>
      </c>
      <c r="N120" s="2" t="str">
        <f>INDEX(Departments!$B$1:$B$6, MATCH(Employees!F120, Departments!$A$1:$A$6, 0))</f>
        <v>Finance</v>
      </c>
      <c r="O120" s="3" t="str">
        <f>INDEX(Departments!$B$2:$B$6,MATCH(Employees!F120,Departments!$A$2:$A$6,0))</f>
        <v>Finance</v>
      </c>
      <c r="P120" s="3">
        <f>INDEX(Performance!$C$2:$C$501,MATCH(Employees!A120,Performance!$A$2:$A$501,0))</f>
        <v>2</v>
      </c>
      <c r="Q120" s="4">
        <f t="shared" si="1"/>
        <v>2814.7000000000003</v>
      </c>
    </row>
    <row r="121" spans="1:17" hidden="1" x14ac:dyDescent="0.25">
      <c r="A121" s="2" t="s">
        <v>411</v>
      </c>
      <c r="B121" s="2" t="s">
        <v>50</v>
      </c>
      <c r="C121" s="2" t="s">
        <v>171</v>
      </c>
      <c r="D121" s="2" t="s">
        <v>20</v>
      </c>
      <c r="E121" s="2">
        <v>32</v>
      </c>
      <c r="F121" s="2" t="s">
        <v>56</v>
      </c>
      <c r="G121" s="2" t="s">
        <v>46</v>
      </c>
      <c r="H121" s="2" t="s">
        <v>412</v>
      </c>
      <c r="I121" s="2">
        <v>112759</v>
      </c>
      <c r="J121" s="2" t="s">
        <v>86</v>
      </c>
      <c r="K121" s="2" t="s">
        <v>413</v>
      </c>
      <c r="L121" s="2" t="s">
        <v>42</v>
      </c>
      <c r="M121" s="2" t="str">
        <f>VLOOKUP(F121,Departments!$A$1:$C$6,2,0)</f>
        <v>Finance</v>
      </c>
      <c r="N121" s="2" t="str">
        <f>INDEX(Departments!$B$1:$B$6, MATCH(Employees!F121, Departments!$A$1:$A$6, 0))</f>
        <v>Finance</v>
      </c>
      <c r="O121" s="3" t="str">
        <f>INDEX(Departments!$B$2:$B$6,MATCH(Employees!F121,Departments!$A$2:$A$6,0))</f>
        <v>Finance</v>
      </c>
      <c r="P121" s="3">
        <f>INDEX(Performance!$C$2:$C$501,MATCH(Employees!A121,Performance!$A$2:$A$501,0))</f>
        <v>2</v>
      </c>
      <c r="Q121" s="4">
        <f t="shared" si="1"/>
        <v>5637.9500000000007</v>
      </c>
    </row>
    <row r="122" spans="1:17" hidden="1" x14ac:dyDescent="0.25">
      <c r="A122" s="2" t="s">
        <v>414</v>
      </c>
      <c r="B122" s="2" t="s">
        <v>100</v>
      </c>
      <c r="C122" s="2" t="s">
        <v>51</v>
      </c>
      <c r="D122" s="2" t="s">
        <v>20</v>
      </c>
      <c r="E122" s="2">
        <v>47</v>
      </c>
      <c r="F122" s="2" t="s">
        <v>30</v>
      </c>
      <c r="G122" s="2" t="s">
        <v>46</v>
      </c>
      <c r="H122" s="2" t="s">
        <v>415</v>
      </c>
      <c r="I122" s="2">
        <v>70479</v>
      </c>
      <c r="J122" s="2" t="s">
        <v>40</v>
      </c>
      <c r="K122" s="2" t="s">
        <v>416</v>
      </c>
      <c r="L122" s="2" t="s">
        <v>26</v>
      </c>
      <c r="M122" s="2" t="str">
        <f>VLOOKUP(F122,Departments!$A$1:$C$6,2,0)</f>
        <v>IT</v>
      </c>
      <c r="N122" s="2" t="str">
        <f>INDEX(Departments!$B$1:$B$6, MATCH(Employees!F122, Departments!$A$1:$A$6, 0))</f>
        <v>IT</v>
      </c>
      <c r="O122" s="3" t="str">
        <f>INDEX(Departments!$B$2:$B$6,MATCH(Employees!F122,Departments!$A$2:$A$6,0))</f>
        <v>IT</v>
      </c>
      <c r="P122" s="3">
        <f>INDEX(Performance!$C$2:$C$501,MATCH(Employees!A122,Performance!$A$2:$A$501,0))</f>
        <v>1</v>
      </c>
      <c r="Q122" s="4">
        <f t="shared" si="1"/>
        <v>3523.9500000000003</v>
      </c>
    </row>
    <row r="123" spans="1:17" hidden="1" x14ac:dyDescent="0.25">
      <c r="A123" s="2" t="s">
        <v>417</v>
      </c>
      <c r="B123" s="2" t="s">
        <v>50</v>
      </c>
      <c r="C123" s="2" t="s">
        <v>69</v>
      </c>
      <c r="D123" s="2" t="s">
        <v>20</v>
      </c>
      <c r="E123" s="2">
        <v>42</v>
      </c>
      <c r="F123" s="2" t="s">
        <v>21</v>
      </c>
      <c r="G123" s="2" t="s">
        <v>31</v>
      </c>
      <c r="H123" s="2" t="s">
        <v>418</v>
      </c>
      <c r="I123" s="2">
        <v>52630</v>
      </c>
      <c r="J123" s="2" t="s">
        <v>66</v>
      </c>
      <c r="K123" s="2" t="s">
        <v>419</v>
      </c>
      <c r="L123" s="2" t="s">
        <v>26</v>
      </c>
      <c r="M123" s="2" t="str">
        <f>VLOOKUP(F123,Departments!$A$1:$C$6,2,0)</f>
        <v>HR</v>
      </c>
      <c r="N123" s="2" t="str">
        <f>INDEX(Departments!$B$1:$B$6, MATCH(Employees!F123, Departments!$A$1:$A$6, 0))</f>
        <v>HR</v>
      </c>
      <c r="O123" s="3" t="str">
        <f>INDEX(Departments!$B$2:$B$6,MATCH(Employees!F123,Departments!$A$2:$A$6,0))</f>
        <v>HR</v>
      </c>
      <c r="P123" s="3">
        <f>INDEX(Performance!$C$2:$C$501,MATCH(Employees!A123,Performance!$A$2:$A$501,0))</f>
        <v>5</v>
      </c>
      <c r="Q123" s="4">
        <f t="shared" si="1"/>
        <v>7894.5</v>
      </c>
    </row>
    <row r="124" spans="1:17" hidden="1" x14ac:dyDescent="0.25">
      <c r="A124" s="2" t="s">
        <v>420</v>
      </c>
      <c r="B124" s="2" t="s">
        <v>50</v>
      </c>
      <c r="C124" s="2" t="s">
        <v>136</v>
      </c>
      <c r="D124" s="2" t="s">
        <v>29</v>
      </c>
      <c r="E124" s="2">
        <v>27</v>
      </c>
      <c r="F124" s="2" t="s">
        <v>37</v>
      </c>
      <c r="G124" s="2" t="s">
        <v>38</v>
      </c>
      <c r="H124" s="2" t="s">
        <v>421</v>
      </c>
      <c r="I124" s="2">
        <v>78119</v>
      </c>
      <c r="J124" s="2" t="s">
        <v>66</v>
      </c>
      <c r="K124" s="2" t="s">
        <v>422</v>
      </c>
      <c r="L124" s="2" t="s">
        <v>26</v>
      </c>
      <c r="M124" s="2" t="str">
        <f>VLOOKUP(F124,Departments!$A$1:$C$6,2,0)</f>
        <v>Sales</v>
      </c>
      <c r="N124" s="2" t="str">
        <f>INDEX(Departments!$B$1:$B$6, MATCH(Employees!F124, Departments!$A$1:$A$6, 0))</f>
        <v>Sales</v>
      </c>
      <c r="O124" s="3" t="str">
        <f>INDEX(Departments!$B$2:$B$6,MATCH(Employees!F124,Departments!$A$2:$A$6,0))</f>
        <v>Sales</v>
      </c>
      <c r="P124" s="3">
        <f>INDEX(Performance!$C$2:$C$501,MATCH(Employees!A124,Performance!$A$2:$A$501,0))</f>
        <v>4</v>
      </c>
      <c r="Q124" s="4">
        <f t="shared" si="1"/>
        <v>7811.9000000000005</v>
      </c>
    </row>
    <row r="125" spans="1:17" hidden="1" x14ac:dyDescent="0.25">
      <c r="A125" s="2" t="s">
        <v>423</v>
      </c>
      <c r="B125" s="2" t="s">
        <v>50</v>
      </c>
      <c r="C125" s="2" t="s">
        <v>84</v>
      </c>
      <c r="D125" s="2" t="s">
        <v>20</v>
      </c>
      <c r="E125" s="2">
        <v>41</v>
      </c>
      <c r="F125" s="2" t="s">
        <v>30</v>
      </c>
      <c r="G125" s="2" t="s">
        <v>38</v>
      </c>
      <c r="H125" s="2" t="s">
        <v>424</v>
      </c>
      <c r="I125" s="2">
        <v>77100</v>
      </c>
      <c r="J125" s="2" t="s">
        <v>24</v>
      </c>
      <c r="K125" s="2" t="s">
        <v>425</v>
      </c>
      <c r="L125" s="2" t="s">
        <v>26</v>
      </c>
      <c r="M125" s="2" t="str">
        <f>VLOOKUP(F125,Departments!$A$1:$C$6,2,0)</f>
        <v>IT</v>
      </c>
      <c r="N125" s="2" t="str">
        <f>INDEX(Departments!$B$1:$B$6, MATCH(Employees!F125, Departments!$A$1:$A$6, 0))</f>
        <v>IT</v>
      </c>
      <c r="O125" s="3" t="str">
        <f>INDEX(Departments!$B$2:$B$6,MATCH(Employees!F125,Departments!$A$2:$A$6,0))</f>
        <v>IT</v>
      </c>
      <c r="P125" s="3">
        <f>INDEX(Performance!$C$2:$C$501,MATCH(Employees!A125,Performance!$A$2:$A$501,0))</f>
        <v>4</v>
      </c>
      <c r="Q125" s="4">
        <f t="shared" si="1"/>
        <v>7710</v>
      </c>
    </row>
    <row r="126" spans="1:17" hidden="1" x14ac:dyDescent="0.25">
      <c r="A126" s="2" t="s">
        <v>426</v>
      </c>
      <c r="B126" s="2" t="s">
        <v>44</v>
      </c>
      <c r="C126" s="2" t="s">
        <v>69</v>
      </c>
      <c r="D126" s="2" t="s">
        <v>20</v>
      </c>
      <c r="E126" s="2">
        <v>58</v>
      </c>
      <c r="F126" s="2" t="s">
        <v>37</v>
      </c>
      <c r="G126" s="2" t="s">
        <v>46</v>
      </c>
      <c r="H126" s="2" t="s">
        <v>427</v>
      </c>
      <c r="I126" s="2">
        <v>48296</v>
      </c>
      <c r="J126" s="2" t="s">
        <v>71</v>
      </c>
      <c r="K126" s="2" t="s">
        <v>428</v>
      </c>
      <c r="L126" s="2" t="s">
        <v>42</v>
      </c>
      <c r="M126" s="2" t="str">
        <f>VLOOKUP(F126,Departments!$A$1:$C$6,2,0)</f>
        <v>Sales</v>
      </c>
      <c r="N126" s="2" t="str">
        <f>INDEX(Departments!$B$1:$B$6, MATCH(Employees!F126, Departments!$A$1:$A$6, 0))</f>
        <v>Sales</v>
      </c>
      <c r="O126" s="3" t="str">
        <f>INDEX(Departments!$B$2:$B$6,MATCH(Employees!F126,Departments!$A$2:$A$6,0))</f>
        <v>Sales</v>
      </c>
      <c r="P126" s="3">
        <f>INDEX(Performance!$C$2:$C$501,MATCH(Employees!A126,Performance!$A$2:$A$501,0))</f>
        <v>4</v>
      </c>
      <c r="Q126" s="4">
        <f t="shared" si="1"/>
        <v>4829.6000000000004</v>
      </c>
    </row>
    <row r="127" spans="1:17" hidden="1" x14ac:dyDescent="0.25">
      <c r="A127" s="2" t="s">
        <v>429</v>
      </c>
      <c r="B127" s="2" t="s">
        <v>60</v>
      </c>
      <c r="C127" s="2" t="s">
        <v>171</v>
      </c>
      <c r="D127" s="2" t="s">
        <v>29</v>
      </c>
      <c r="E127" s="2">
        <v>46</v>
      </c>
      <c r="F127" s="2" t="s">
        <v>56</v>
      </c>
      <c r="G127" s="2" t="s">
        <v>31</v>
      </c>
      <c r="H127" s="2" t="s">
        <v>430</v>
      </c>
      <c r="I127" s="2">
        <v>69026</v>
      </c>
      <c r="J127" s="2" t="s">
        <v>40</v>
      </c>
      <c r="K127" s="2" t="s">
        <v>431</v>
      </c>
      <c r="L127" s="2" t="s">
        <v>26</v>
      </c>
      <c r="M127" s="2" t="str">
        <f>VLOOKUP(F127,Departments!$A$1:$C$6,2,0)</f>
        <v>Finance</v>
      </c>
      <c r="N127" s="2" t="str">
        <f>INDEX(Departments!$B$1:$B$6, MATCH(Employees!F127, Departments!$A$1:$A$6, 0))</f>
        <v>Finance</v>
      </c>
      <c r="O127" s="3" t="str">
        <f>INDEX(Departments!$B$2:$B$6,MATCH(Employees!F127,Departments!$A$2:$A$6,0))</f>
        <v>Finance</v>
      </c>
      <c r="P127" s="3">
        <f>INDEX(Performance!$C$2:$C$501,MATCH(Employees!A127,Performance!$A$2:$A$501,0))</f>
        <v>2</v>
      </c>
      <c r="Q127" s="4">
        <f t="shared" si="1"/>
        <v>3451.3</v>
      </c>
    </row>
    <row r="128" spans="1:17" hidden="1" x14ac:dyDescent="0.25">
      <c r="A128" s="2" t="s">
        <v>432</v>
      </c>
      <c r="B128" s="2" t="s">
        <v>64</v>
      </c>
      <c r="C128" s="2" t="s">
        <v>28</v>
      </c>
      <c r="D128" s="2" t="s">
        <v>20</v>
      </c>
      <c r="E128" s="2">
        <v>29</v>
      </c>
      <c r="F128" s="2" t="s">
        <v>30</v>
      </c>
      <c r="G128" s="2" t="s">
        <v>31</v>
      </c>
      <c r="H128" s="2" t="s">
        <v>433</v>
      </c>
      <c r="I128" s="2">
        <v>97080</v>
      </c>
      <c r="J128" s="2" t="s">
        <v>86</v>
      </c>
      <c r="K128" s="2" t="s">
        <v>434</v>
      </c>
      <c r="L128" s="2" t="s">
        <v>26</v>
      </c>
      <c r="M128" s="2" t="str">
        <f>VLOOKUP(F128,Departments!$A$1:$C$6,2,0)</f>
        <v>IT</v>
      </c>
      <c r="N128" s="2" t="str">
        <f>INDEX(Departments!$B$1:$B$6, MATCH(Employees!F128, Departments!$A$1:$A$6, 0))</f>
        <v>IT</v>
      </c>
      <c r="O128" s="3" t="str">
        <f>INDEX(Departments!$B$2:$B$6,MATCH(Employees!F128,Departments!$A$2:$A$6,0))</f>
        <v>IT</v>
      </c>
      <c r="P128" s="3">
        <f>INDEX(Performance!$C$2:$C$501,MATCH(Employees!A128,Performance!$A$2:$A$501,0))</f>
        <v>5</v>
      </c>
      <c r="Q128" s="4">
        <f t="shared" si="1"/>
        <v>14562</v>
      </c>
    </row>
    <row r="129" spans="1:17" hidden="1" x14ac:dyDescent="0.25">
      <c r="A129" s="2" t="s">
        <v>435</v>
      </c>
      <c r="B129" s="2" t="s">
        <v>77</v>
      </c>
      <c r="C129" s="2" t="s">
        <v>136</v>
      </c>
      <c r="D129" s="2" t="s">
        <v>29</v>
      </c>
      <c r="E129" s="2">
        <v>26</v>
      </c>
      <c r="F129" s="2" t="s">
        <v>30</v>
      </c>
      <c r="G129" s="2" t="s">
        <v>38</v>
      </c>
      <c r="H129" s="2" t="s">
        <v>436</v>
      </c>
      <c r="I129" s="2">
        <v>71436</v>
      </c>
      <c r="J129" s="2" t="s">
        <v>40</v>
      </c>
      <c r="K129" s="2" t="s">
        <v>437</v>
      </c>
      <c r="L129" s="2" t="s">
        <v>42</v>
      </c>
      <c r="M129" s="2" t="str">
        <f>VLOOKUP(F129,Departments!$A$1:$C$6,2,0)</f>
        <v>IT</v>
      </c>
      <c r="N129" s="2" t="str">
        <f>INDEX(Departments!$B$1:$B$6, MATCH(Employees!F129, Departments!$A$1:$A$6, 0))</f>
        <v>IT</v>
      </c>
      <c r="O129" s="3" t="str">
        <f>INDEX(Departments!$B$2:$B$6,MATCH(Employees!F129,Departments!$A$2:$A$6,0))</f>
        <v>IT</v>
      </c>
      <c r="P129" s="3">
        <f>INDEX(Performance!$C$2:$C$501,MATCH(Employees!A129,Performance!$A$2:$A$501,0))</f>
        <v>1</v>
      </c>
      <c r="Q129" s="4">
        <f t="shared" si="1"/>
        <v>3571.8</v>
      </c>
    </row>
    <row r="130" spans="1:17" hidden="1" x14ac:dyDescent="0.25">
      <c r="A130" s="2" t="s">
        <v>438</v>
      </c>
      <c r="B130" s="2" t="s">
        <v>100</v>
      </c>
      <c r="C130" s="2" t="s">
        <v>69</v>
      </c>
      <c r="D130" s="2" t="s">
        <v>29</v>
      </c>
      <c r="E130" s="2">
        <v>44</v>
      </c>
      <c r="F130" s="2" t="s">
        <v>21</v>
      </c>
      <c r="G130" s="2" t="s">
        <v>38</v>
      </c>
      <c r="H130" s="2" t="s">
        <v>439</v>
      </c>
      <c r="I130" s="2">
        <v>87790</v>
      </c>
      <c r="J130" s="2" t="s">
        <v>86</v>
      </c>
      <c r="K130" s="2" t="s">
        <v>440</v>
      </c>
      <c r="L130" s="2" t="s">
        <v>26</v>
      </c>
      <c r="M130" s="2" t="str">
        <f>VLOOKUP(F130,Departments!$A$1:$C$6,2,0)</f>
        <v>HR</v>
      </c>
      <c r="N130" s="2" t="str">
        <f>INDEX(Departments!$B$1:$B$6, MATCH(Employees!F130, Departments!$A$1:$A$6, 0))</f>
        <v>HR</v>
      </c>
      <c r="O130" s="3" t="str">
        <f>INDEX(Departments!$B$2:$B$6,MATCH(Employees!F130,Departments!$A$2:$A$6,0))</f>
        <v>HR</v>
      </c>
      <c r="P130" s="3">
        <f>INDEX(Performance!$C$2:$C$501,MATCH(Employees!A130,Performance!$A$2:$A$501,0))</f>
        <v>5</v>
      </c>
      <c r="Q130" s="4">
        <f t="shared" ref="Q130:Q193" si="2">IF(P130=5,I130*0.15,IF(P130=4,I130*0.1,IF(P130=3,I130*0.07,IF(P130&lt;3,I130*0.05,0))))</f>
        <v>13168.5</v>
      </c>
    </row>
    <row r="131" spans="1:17" hidden="1" x14ac:dyDescent="0.25">
      <c r="A131" s="2" t="s">
        <v>441</v>
      </c>
      <c r="B131" s="2" t="s">
        <v>60</v>
      </c>
      <c r="C131" s="2" t="s">
        <v>69</v>
      </c>
      <c r="D131" s="2" t="s">
        <v>29</v>
      </c>
      <c r="E131" s="2">
        <v>59</v>
      </c>
      <c r="F131" s="2" t="s">
        <v>21</v>
      </c>
      <c r="G131" s="2" t="s">
        <v>114</v>
      </c>
      <c r="H131" s="2" t="s">
        <v>442</v>
      </c>
      <c r="I131" s="2">
        <v>119530</v>
      </c>
      <c r="J131" s="2" t="s">
        <v>86</v>
      </c>
      <c r="K131" s="2" t="s">
        <v>443</v>
      </c>
      <c r="L131" s="2" t="s">
        <v>26</v>
      </c>
      <c r="M131" s="2" t="str">
        <f>VLOOKUP(F131,Departments!$A$1:$C$6,2,0)</f>
        <v>HR</v>
      </c>
      <c r="N131" s="2" t="str">
        <f>INDEX(Departments!$B$1:$B$6, MATCH(Employees!F131, Departments!$A$1:$A$6, 0))</f>
        <v>HR</v>
      </c>
      <c r="O131" s="3" t="str">
        <f>INDEX(Departments!$B$2:$B$6,MATCH(Employees!F131,Departments!$A$2:$A$6,0))</f>
        <v>HR</v>
      </c>
      <c r="P131" s="3">
        <f>INDEX(Performance!$C$2:$C$501,MATCH(Employees!A131,Performance!$A$2:$A$501,0))</f>
        <v>1</v>
      </c>
      <c r="Q131" s="4">
        <f t="shared" si="2"/>
        <v>5976.5</v>
      </c>
    </row>
    <row r="132" spans="1:17" hidden="1" x14ac:dyDescent="0.25">
      <c r="A132" s="2" t="s">
        <v>444</v>
      </c>
      <c r="B132" s="2" t="s">
        <v>149</v>
      </c>
      <c r="C132" s="2" t="s">
        <v>19</v>
      </c>
      <c r="D132" s="2" t="s">
        <v>29</v>
      </c>
      <c r="E132" s="2">
        <v>37</v>
      </c>
      <c r="F132" s="2" t="s">
        <v>37</v>
      </c>
      <c r="G132" s="2" t="s">
        <v>114</v>
      </c>
      <c r="H132" s="2" t="s">
        <v>445</v>
      </c>
      <c r="I132" s="2">
        <v>100623</v>
      </c>
      <c r="J132" s="2" t="s">
        <v>40</v>
      </c>
      <c r="K132" s="2" t="s">
        <v>446</v>
      </c>
      <c r="L132" s="2" t="s">
        <v>26</v>
      </c>
      <c r="M132" s="2" t="str">
        <f>VLOOKUP(F132,Departments!$A$1:$C$6,2,0)</f>
        <v>Sales</v>
      </c>
      <c r="N132" s="2" t="str">
        <f>INDEX(Departments!$B$1:$B$6, MATCH(Employees!F132, Departments!$A$1:$A$6, 0))</f>
        <v>Sales</v>
      </c>
      <c r="O132" s="3" t="str">
        <f>INDEX(Departments!$B$2:$B$6,MATCH(Employees!F132,Departments!$A$2:$A$6,0))</f>
        <v>Sales</v>
      </c>
      <c r="P132" s="3">
        <f>INDEX(Performance!$C$2:$C$501,MATCH(Employees!A132,Performance!$A$2:$A$501,0))</f>
        <v>5</v>
      </c>
      <c r="Q132" s="4">
        <f t="shared" si="2"/>
        <v>15093.449999999999</v>
      </c>
    </row>
    <row r="133" spans="1:17" hidden="1" x14ac:dyDescent="0.25">
      <c r="A133" s="2" t="s">
        <v>447</v>
      </c>
      <c r="B133" s="2" t="s">
        <v>50</v>
      </c>
      <c r="C133" s="2" t="s">
        <v>51</v>
      </c>
      <c r="D133" s="2" t="s">
        <v>29</v>
      </c>
      <c r="E133" s="2">
        <v>60</v>
      </c>
      <c r="F133" s="2" t="s">
        <v>37</v>
      </c>
      <c r="G133" s="2" t="s">
        <v>114</v>
      </c>
      <c r="H133" s="2" t="s">
        <v>448</v>
      </c>
      <c r="I133" s="2">
        <v>40317</v>
      </c>
      <c r="J133" s="2" t="s">
        <v>86</v>
      </c>
      <c r="K133" s="2" t="s">
        <v>449</v>
      </c>
      <c r="L133" s="2" t="s">
        <v>26</v>
      </c>
      <c r="M133" s="2" t="str">
        <f>VLOOKUP(F133,Departments!$A$1:$C$6,2,0)</f>
        <v>Sales</v>
      </c>
      <c r="N133" s="2" t="str">
        <f>INDEX(Departments!$B$1:$B$6, MATCH(Employees!F133, Departments!$A$1:$A$6, 0))</f>
        <v>Sales</v>
      </c>
      <c r="O133" s="3" t="str">
        <f>INDEX(Departments!$B$2:$B$6,MATCH(Employees!F133,Departments!$A$2:$A$6,0))</f>
        <v>Sales</v>
      </c>
      <c r="P133" s="3">
        <f>INDEX(Performance!$C$2:$C$501,MATCH(Employees!A133,Performance!$A$2:$A$501,0))</f>
        <v>5</v>
      </c>
      <c r="Q133" s="4">
        <f t="shared" si="2"/>
        <v>6047.55</v>
      </c>
    </row>
    <row r="134" spans="1:17" hidden="1" x14ac:dyDescent="0.25">
      <c r="A134" s="2" t="s">
        <v>450</v>
      </c>
      <c r="B134" s="2" t="s">
        <v>77</v>
      </c>
      <c r="C134" s="2" t="s">
        <v>171</v>
      </c>
      <c r="D134" s="2" t="s">
        <v>29</v>
      </c>
      <c r="E134" s="2">
        <v>51</v>
      </c>
      <c r="F134" s="2" t="s">
        <v>30</v>
      </c>
      <c r="G134" s="2" t="s">
        <v>114</v>
      </c>
      <c r="H134" s="2" t="s">
        <v>451</v>
      </c>
      <c r="I134" s="2">
        <v>87915</v>
      </c>
      <c r="J134" s="2" t="s">
        <v>66</v>
      </c>
      <c r="K134" s="2" t="s">
        <v>452</v>
      </c>
      <c r="L134" s="2" t="s">
        <v>26</v>
      </c>
      <c r="M134" s="2" t="str">
        <f>VLOOKUP(F134,Departments!$A$1:$C$6,2,0)</f>
        <v>IT</v>
      </c>
      <c r="N134" s="2" t="str">
        <f>INDEX(Departments!$B$1:$B$6, MATCH(Employees!F134, Departments!$A$1:$A$6, 0))</f>
        <v>IT</v>
      </c>
      <c r="O134" s="3" t="str">
        <f>INDEX(Departments!$B$2:$B$6,MATCH(Employees!F134,Departments!$A$2:$A$6,0))</f>
        <v>IT</v>
      </c>
      <c r="P134" s="3">
        <f>INDEX(Performance!$C$2:$C$501,MATCH(Employees!A134,Performance!$A$2:$A$501,0))</f>
        <v>4</v>
      </c>
      <c r="Q134" s="4">
        <f t="shared" si="2"/>
        <v>8791.5</v>
      </c>
    </row>
    <row r="135" spans="1:17" hidden="1" x14ac:dyDescent="0.25">
      <c r="A135" s="2" t="s">
        <v>453</v>
      </c>
      <c r="B135" s="2" t="s">
        <v>149</v>
      </c>
      <c r="C135" s="2" t="s">
        <v>19</v>
      </c>
      <c r="D135" s="2" t="s">
        <v>20</v>
      </c>
      <c r="E135" s="2">
        <v>49</v>
      </c>
      <c r="F135" s="2" t="s">
        <v>37</v>
      </c>
      <c r="G135" s="2" t="s">
        <v>114</v>
      </c>
      <c r="H135" s="2" t="s">
        <v>454</v>
      </c>
      <c r="I135" s="2">
        <v>102279</v>
      </c>
      <c r="J135" s="2" t="s">
        <v>66</v>
      </c>
      <c r="K135" s="2" t="s">
        <v>455</v>
      </c>
      <c r="L135" s="2" t="s">
        <v>42</v>
      </c>
      <c r="M135" s="2" t="str">
        <f>VLOOKUP(F135,Departments!$A$1:$C$6,2,0)</f>
        <v>Sales</v>
      </c>
      <c r="N135" s="2" t="str">
        <f>INDEX(Departments!$B$1:$B$6, MATCH(Employees!F135, Departments!$A$1:$A$6, 0))</f>
        <v>Sales</v>
      </c>
      <c r="O135" s="3" t="str">
        <f>INDEX(Departments!$B$2:$B$6,MATCH(Employees!F135,Departments!$A$2:$A$6,0))</f>
        <v>Sales</v>
      </c>
      <c r="P135" s="3">
        <f>INDEX(Performance!$C$2:$C$501,MATCH(Employees!A135,Performance!$A$2:$A$501,0))</f>
        <v>2</v>
      </c>
      <c r="Q135" s="4">
        <f t="shared" si="2"/>
        <v>5113.9500000000007</v>
      </c>
    </row>
    <row r="136" spans="1:17" hidden="1" x14ac:dyDescent="0.25">
      <c r="A136" s="2" t="s">
        <v>456</v>
      </c>
      <c r="B136" s="2" t="s">
        <v>77</v>
      </c>
      <c r="C136" s="2" t="s">
        <v>101</v>
      </c>
      <c r="D136" s="2" t="s">
        <v>29</v>
      </c>
      <c r="E136" s="2">
        <v>36</v>
      </c>
      <c r="F136" s="2" t="s">
        <v>37</v>
      </c>
      <c r="G136" s="2" t="s">
        <v>46</v>
      </c>
      <c r="H136" s="2" t="s">
        <v>457</v>
      </c>
      <c r="I136" s="2">
        <v>72887</v>
      </c>
      <c r="J136" s="2" t="s">
        <v>40</v>
      </c>
      <c r="K136" s="2" t="s">
        <v>458</v>
      </c>
      <c r="L136" s="2" t="s">
        <v>42</v>
      </c>
      <c r="M136" s="2" t="str">
        <f>VLOOKUP(F136,Departments!$A$1:$C$6,2,0)</f>
        <v>Sales</v>
      </c>
      <c r="N136" s="2" t="str">
        <f>INDEX(Departments!$B$1:$B$6, MATCH(Employees!F136, Departments!$A$1:$A$6, 0))</f>
        <v>Sales</v>
      </c>
      <c r="O136" s="3" t="str">
        <f>INDEX(Departments!$B$2:$B$6,MATCH(Employees!F136,Departments!$A$2:$A$6,0))</f>
        <v>Sales</v>
      </c>
      <c r="P136" s="3">
        <f>INDEX(Performance!$C$2:$C$501,MATCH(Employees!A136,Performance!$A$2:$A$501,0))</f>
        <v>1</v>
      </c>
      <c r="Q136" s="4">
        <f t="shared" si="2"/>
        <v>3644.3500000000004</v>
      </c>
    </row>
    <row r="137" spans="1:17" hidden="1" x14ac:dyDescent="0.25">
      <c r="A137" s="2" t="s">
        <v>459</v>
      </c>
      <c r="B137" s="2" t="s">
        <v>44</v>
      </c>
      <c r="C137" s="2" t="s">
        <v>19</v>
      </c>
      <c r="D137" s="2" t="s">
        <v>20</v>
      </c>
      <c r="E137" s="2">
        <v>43</v>
      </c>
      <c r="F137" s="2" t="s">
        <v>21</v>
      </c>
      <c r="G137" s="2" t="s">
        <v>31</v>
      </c>
      <c r="H137" s="2" t="s">
        <v>460</v>
      </c>
      <c r="I137" s="2">
        <v>92793</v>
      </c>
      <c r="J137" s="2" t="s">
        <v>66</v>
      </c>
      <c r="K137" s="2" t="s">
        <v>461</v>
      </c>
      <c r="L137" s="2" t="s">
        <v>26</v>
      </c>
      <c r="M137" s="2" t="str">
        <f>VLOOKUP(F137,Departments!$A$1:$C$6,2,0)</f>
        <v>HR</v>
      </c>
      <c r="N137" s="2" t="str">
        <f>INDEX(Departments!$B$1:$B$6, MATCH(Employees!F137, Departments!$A$1:$A$6, 0))</f>
        <v>HR</v>
      </c>
      <c r="O137" s="3" t="str">
        <f>INDEX(Departments!$B$2:$B$6,MATCH(Employees!F137,Departments!$A$2:$A$6,0))</f>
        <v>HR</v>
      </c>
      <c r="P137" s="3">
        <f>INDEX(Performance!$C$2:$C$501,MATCH(Employees!A137,Performance!$A$2:$A$501,0))</f>
        <v>2</v>
      </c>
      <c r="Q137" s="4">
        <f t="shared" si="2"/>
        <v>4639.6500000000005</v>
      </c>
    </row>
    <row r="138" spans="1:17" hidden="1" x14ac:dyDescent="0.25">
      <c r="A138" s="2" t="s">
        <v>462</v>
      </c>
      <c r="B138" s="2" t="s">
        <v>100</v>
      </c>
      <c r="C138" s="2" t="s">
        <v>84</v>
      </c>
      <c r="D138" s="2" t="s">
        <v>29</v>
      </c>
      <c r="E138" s="2">
        <v>48</v>
      </c>
      <c r="F138" s="2" t="s">
        <v>45</v>
      </c>
      <c r="G138" s="2" t="s">
        <v>31</v>
      </c>
      <c r="H138" s="2" t="s">
        <v>463</v>
      </c>
      <c r="I138" s="2">
        <v>114316</v>
      </c>
      <c r="J138" s="2" t="s">
        <v>71</v>
      </c>
      <c r="K138" s="2" t="s">
        <v>464</v>
      </c>
      <c r="L138" s="2" t="s">
        <v>26</v>
      </c>
      <c r="M138" s="2" t="str">
        <f>VLOOKUP(F138,Departments!$A$1:$C$6,2,0)</f>
        <v>Marketing</v>
      </c>
      <c r="N138" s="2" t="str">
        <f>INDEX(Departments!$B$1:$B$6, MATCH(Employees!F138, Departments!$A$1:$A$6, 0))</f>
        <v>Marketing</v>
      </c>
      <c r="O138" s="3" t="str">
        <f>INDEX(Departments!$B$2:$B$6,MATCH(Employees!F138,Departments!$A$2:$A$6,0))</f>
        <v>Marketing</v>
      </c>
      <c r="P138" s="3">
        <f>INDEX(Performance!$C$2:$C$501,MATCH(Employees!A138,Performance!$A$2:$A$501,0))</f>
        <v>3</v>
      </c>
      <c r="Q138" s="4">
        <f t="shared" si="2"/>
        <v>8002.1200000000008</v>
      </c>
    </row>
    <row r="139" spans="1:17" hidden="1" x14ac:dyDescent="0.25">
      <c r="A139" s="2" t="s">
        <v>465</v>
      </c>
      <c r="B139" s="2" t="s">
        <v>44</v>
      </c>
      <c r="C139" s="2" t="s">
        <v>51</v>
      </c>
      <c r="D139" s="2" t="s">
        <v>29</v>
      </c>
      <c r="E139" s="2">
        <v>59</v>
      </c>
      <c r="F139" s="2" t="s">
        <v>45</v>
      </c>
      <c r="G139" s="2" t="s">
        <v>22</v>
      </c>
      <c r="H139" s="2" t="s">
        <v>466</v>
      </c>
      <c r="I139" s="2">
        <v>60835</v>
      </c>
      <c r="J139" s="2" t="s">
        <v>66</v>
      </c>
      <c r="K139" s="2" t="s">
        <v>467</v>
      </c>
      <c r="L139" s="2" t="s">
        <v>26</v>
      </c>
      <c r="M139" s="2" t="str">
        <f>VLOOKUP(F139,Departments!$A$1:$C$6,2,0)</f>
        <v>Marketing</v>
      </c>
      <c r="N139" s="2" t="str">
        <f>INDEX(Departments!$B$1:$B$6, MATCH(Employees!F139, Departments!$A$1:$A$6, 0))</f>
        <v>Marketing</v>
      </c>
      <c r="O139" s="3" t="str">
        <f>INDEX(Departments!$B$2:$B$6,MATCH(Employees!F139,Departments!$A$2:$A$6,0))</f>
        <v>Marketing</v>
      </c>
      <c r="P139" s="3">
        <f>INDEX(Performance!$C$2:$C$501,MATCH(Employees!A139,Performance!$A$2:$A$501,0))</f>
        <v>1</v>
      </c>
      <c r="Q139" s="4">
        <f t="shared" si="2"/>
        <v>3041.75</v>
      </c>
    </row>
    <row r="140" spans="1:17" hidden="1" x14ac:dyDescent="0.25">
      <c r="A140" s="2" t="s">
        <v>468</v>
      </c>
      <c r="B140" s="2" t="s">
        <v>55</v>
      </c>
      <c r="C140" s="2" t="s">
        <v>171</v>
      </c>
      <c r="D140" s="2" t="s">
        <v>29</v>
      </c>
      <c r="E140" s="2">
        <v>31</v>
      </c>
      <c r="F140" s="2" t="s">
        <v>37</v>
      </c>
      <c r="G140" s="2" t="s">
        <v>31</v>
      </c>
      <c r="H140" s="2" t="s">
        <v>469</v>
      </c>
      <c r="I140" s="2">
        <v>105179</v>
      </c>
      <c r="J140" s="2" t="s">
        <v>24</v>
      </c>
      <c r="K140" s="2" t="s">
        <v>470</v>
      </c>
      <c r="L140" s="2" t="s">
        <v>26</v>
      </c>
      <c r="M140" s="2" t="str">
        <f>VLOOKUP(F140,Departments!$A$1:$C$6,2,0)</f>
        <v>Sales</v>
      </c>
      <c r="N140" s="2" t="str">
        <f>INDEX(Departments!$B$1:$B$6, MATCH(Employees!F140, Departments!$A$1:$A$6, 0))</f>
        <v>Sales</v>
      </c>
      <c r="O140" s="3" t="str">
        <f>INDEX(Departments!$B$2:$B$6,MATCH(Employees!F140,Departments!$A$2:$A$6,0))</f>
        <v>Sales</v>
      </c>
      <c r="P140" s="3">
        <f>INDEX(Performance!$C$2:$C$501,MATCH(Employees!A140,Performance!$A$2:$A$501,0))</f>
        <v>5</v>
      </c>
      <c r="Q140" s="4">
        <f t="shared" si="2"/>
        <v>15776.849999999999</v>
      </c>
    </row>
    <row r="141" spans="1:17" hidden="1" x14ac:dyDescent="0.25">
      <c r="A141" s="2" t="s">
        <v>471</v>
      </c>
      <c r="B141" s="2" t="s">
        <v>100</v>
      </c>
      <c r="C141" s="2" t="s">
        <v>171</v>
      </c>
      <c r="D141" s="2" t="s">
        <v>20</v>
      </c>
      <c r="E141" s="2">
        <v>48</v>
      </c>
      <c r="F141" s="2" t="s">
        <v>37</v>
      </c>
      <c r="G141" s="2" t="s">
        <v>46</v>
      </c>
      <c r="H141" s="2" t="s">
        <v>472</v>
      </c>
      <c r="I141" s="2">
        <v>109704</v>
      </c>
      <c r="J141" s="2" t="s">
        <v>86</v>
      </c>
      <c r="K141" s="2" t="s">
        <v>473</v>
      </c>
      <c r="L141" s="2" t="s">
        <v>42</v>
      </c>
      <c r="M141" s="2" t="str">
        <f>VLOOKUP(F141,Departments!$A$1:$C$6,2,0)</f>
        <v>Sales</v>
      </c>
      <c r="N141" s="2" t="str">
        <f>INDEX(Departments!$B$1:$B$6, MATCH(Employees!F141, Departments!$A$1:$A$6, 0))</f>
        <v>Sales</v>
      </c>
      <c r="O141" s="3" t="str">
        <f>INDEX(Departments!$B$2:$B$6,MATCH(Employees!F141,Departments!$A$2:$A$6,0))</f>
        <v>Sales</v>
      </c>
      <c r="P141" s="3">
        <f>INDEX(Performance!$C$2:$C$501,MATCH(Employees!A141,Performance!$A$2:$A$501,0))</f>
        <v>2</v>
      </c>
      <c r="Q141" s="4">
        <f t="shared" si="2"/>
        <v>5485.2000000000007</v>
      </c>
    </row>
    <row r="142" spans="1:17" hidden="1" x14ac:dyDescent="0.25">
      <c r="A142" s="2" t="s">
        <v>474</v>
      </c>
      <c r="B142" s="2" t="s">
        <v>60</v>
      </c>
      <c r="C142" s="2" t="s">
        <v>136</v>
      </c>
      <c r="D142" s="2" t="s">
        <v>20</v>
      </c>
      <c r="E142" s="2">
        <v>32</v>
      </c>
      <c r="F142" s="2" t="s">
        <v>45</v>
      </c>
      <c r="G142" s="2" t="s">
        <v>38</v>
      </c>
      <c r="H142" s="2" t="s">
        <v>475</v>
      </c>
      <c r="I142" s="2">
        <v>68125</v>
      </c>
      <c r="J142" s="2" t="s">
        <v>40</v>
      </c>
      <c r="K142" s="2" t="s">
        <v>476</v>
      </c>
      <c r="L142" s="2" t="s">
        <v>26</v>
      </c>
      <c r="M142" s="2" t="str">
        <f>VLOOKUP(F142,Departments!$A$1:$C$6,2,0)</f>
        <v>Marketing</v>
      </c>
      <c r="N142" s="2" t="str">
        <f>INDEX(Departments!$B$1:$B$6, MATCH(Employees!F142, Departments!$A$1:$A$6, 0))</f>
        <v>Marketing</v>
      </c>
      <c r="O142" s="3" t="str">
        <f>INDEX(Departments!$B$2:$B$6,MATCH(Employees!F142,Departments!$A$2:$A$6,0))</f>
        <v>Marketing</v>
      </c>
      <c r="P142" s="3">
        <f>INDEX(Performance!$C$2:$C$501,MATCH(Employees!A142,Performance!$A$2:$A$501,0))</f>
        <v>3</v>
      </c>
      <c r="Q142" s="4">
        <f t="shared" si="2"/>
        <v>4768.75</v>
      </c>
    </row>
    <row r="143" spans="1:17" hidden="1" x14ac:dyDescent="0.25">
      <c r="A143" s="2" t="s">
        <v>477</v>
      </c>
      <c r="B143" s="2" t="s">
        <v>44</v>
      </c>
      <c r="C143" s="2" t="s">
        <v>84</v>
      </c>
      <c r="D143" s="2" t="s">
        <v>20</v>
      </c>
      <c r="E143" s="2">
        <v>47</v>
      </c>
      <c r="F143" s="2" t="s">
        <v>37</v>
      </c>
      <c r="G143" s="2" t="s">
        <v>22</v>
      </c>
      <c r="H143" s="2" t="s">
        <v>478</v>
      </c>
      <c r="I143" s="2">
        <v>96812</v>
      </c>
      <c r="J143" s="2" t="s">
        <v>86</v>
      </c>
      <c r="K143" s="2" t="s">
        <v>479</v>
      </c>
      <c r="L143" s="2" t="s">
        <v>26</v>
      </c>
      <c r="M143" s="2" t="str">
        <f>VLOOKUP(F143,Departments!$A$1:$C$6,2,0)</f>
        <v>Sales</v>
      </c>
      <c r="N143" s="2" t="str">
        <f>INDEX(Departments!$B$1:$B$6, MATCH(Employees!F143, Departments!$A$1:$A$6, 0))</f>
        <v>Sales</v>
      </c>
      <c r="O143" s="3" t="str">
        <f>INDEX(Departments!$B$2:$B$6,MATCH(Employees!F143,Departments!$A$2:$A$6,0))</f>
        <v>Sales</v>
      </c>
      <c r="P143" s="3">
        <f>INDEX(Performance!$C$2:$C$501,MATCH(Employees!A143,Performance!$A$2:$A$501,0))</f>
        <v>1</v>
      </c>
      <c r="Q143" s="4">
        <f t="shared" si="2"/>
        <v>4840.6000000000004</v>
      </c>
    </row>
    <row r="144" spans="1:17" hidden="1" x14ac:dyDescent="0.25">
      <c r="A144" s="2" t="s">
        <v>480</v>
      </c>
      <c r="B144" s="2" t="s">
        <v>64</v>
      </c>
      <c r="C144" s="2" t="s">
        <v>171</v>
      </c>
      <c r="D144" s="2" t="s">
        <v>20</v>
      </c>
      <c r="E144" s="2">
        <v>47</v>
      </c>
      <c r="F144" s="2" t="s">
        <v>56</v>
      </c>
      <c r="G144" s="2" t="s">
        <v>31</v>
      </c>
      <c r="H144" s="2" t="s">
        <v>481</v>
      </c>
      <c r="I144" s="2">
        <v>116650</v>
      </c>
      <c r="J144" s="2" t="s">
        <v>71</v>
      </c>
      <c r="K144" s="2" t="s">
        <v>482</v>
      </c>
      <c r="L144" s="2" t="s">
        <v>42</v>
      </c>
      <c r="M144" s="2" t="str">
        <f>VLOOKUP(F144,Departments!$A$1:$C$6,2,0)</f>
        <v>Finance</v>
      </c>
      <c r="N144" s="2" t="str">
        <f>INDEX(Departments!$B$1:$B$6, MATCH(Employees!F144, Departments!$A$1:$A$6, 0))</f>
        <v>Finance</v>
      </c>
      <c r="O144" s="3" t="str">
        <f>INDEX(Departments!$B$2:$B$6,MATCH(Employees!F144,Departments!$A$2:$A$6,0))</f>
        <v>Finance</v>
      </c>
      <c r="P144" s="3">
        <f>INDEX(Performance!$C$2:$C$501,MATCH(Employees!A144,Performance!$A$2:$A$501,0))</f>
        <v>3</v>
      </c>
      <c r="Q144" s="4">
        <f t="shared" si="2"/>
        <v>8165.5000000000009</v>
      </c>
    </row>
    <row r="145" spans="1:17" hidden="1" x14ac:dyDescent="0.25">
      <c r="A145" s="2" t="s">
        <v>483</v>
      </c>
      <c r="B145" s="2" t="s">
        <v>77</v>
      </c>
      <c r="C145" s="2" t="s">
        <v>89</v>
      </c>
      <c r="D145" s="2" t="s">
        <v>29</v>
      </c>
      <c r="E145" s="2">
        <v>28</v>
      </c>
      <c r="F145" s="2" t="s">
        <v>45</v>
      </c>
      <c r="G145" s="2" t="s">
        <v>31</v>
      </c>
      <c r="H145" s="2" t="s">
        <v>484</v>
      </c>
      <c r="I145" s="2">
        <v>86592</v>
      </c>
      <c r="J145" s="2" t="s">
        <v>86</v>
      </c>
      <c r="K145" s="2" t="s">
        <v>485</v>
      </c>
      <c r="L145" s="2" t="s">
        <v>42</v>
      </c>
      <c r="M145" s="2" t="str">
        <f>VLOOKUP(F145,Departments!$A$1:$C$6,2,0)</f>
        <v>Marketing</v>
      </c>
      <c r="N145" s="2" t="str">
        <f>INDEX(Departments!$B$1:$B$6, MATCH(Employees!F145, Departments!$A$1:$A$6, 0))</f>
        <v>Marketing</v>
      </c>
      <c r="O145" s="3" t="str">
        <f>INDEX(Departments!$B$2:$B$6,MATCH(Employees!F145,Departments!$A$2:$A$6,0))</f>
        <v>Marketing</v>
      </c>
      <c r="P145" s="3">
        <f>INDEX(Performance!$C$2:$C$501,MATCH(Employees!A145,Performance!$A$2:$A$501,0))</f>
        <v>1</v>
      </c>
      <c r="Q145" s="4">
        <f t="shared" si="2"/>
        <v>4329.6000000000004</v>
      </c>
    </row>
    <row r="146" spans="1:17" hidden="1" x14ac:dyDescent="0.25">
      <c r="A146" s="2" t="s">
        <v>486</v>
      </c>
      <c r="B146" s="2" t="s">
        <v>50</v>
      </c>
      <c r="C146" s="2" t="s">
        <v>28</v>
      </c>
      <c r="D146" s="2" t="s">
        <v>29</v>
      </c>
      <c r="E146" s="2">
        <v>57</v>
      </c>
      <c r="F146" s="2" t="s">
        <v>56</v>
      </c>
      <c r="G146" s="2" t="s">
        <v>31</v>
      </c>
      <c r="H146" s="2" t="s">
        <v>487</v>
      </c>
      <c r="I146" s="2">
        <v>78320</v>
      </c>
      <c r="J146" s="2" t="s">
        <v>40</v>
      </c>
      <c r="K146" s="2" t="s">
        <v>488</v>
      </c>
      <c r="L146" s="2" t="s">
        <v>26</v>
      </c>
      <c r="M146" s="2" t="str">
        <f>VLOOKUP(F146,Departments!$A$1:$C$6,2,0)</f>
        <v>Finance</v>
      </c>
      <c r="N146" s="2" t="str">
        <f>INDEX(Departments!$B$1:$B$6, MATCH(Employees!F146, Departments!$A$1:$A$6, 0))</f>
        <v>Finance</v>
      </c>
      <c r="O146" s="3" t="str">
        <f>INDEX(Departments!$B$2:$B$6,MATCH(Employees!F146,Departments!$A$2:$A$6,0))</f>
        <v>Finance</v>
      </c>
      <c r="P146" s="3">
        <f>INDEX(Performance!$C$2:$C$501,MATCH(Employees!A146,Performance!$A$2:$A$501,0))</f>
        <v>1</v>
      </c>
      <c r="Q146" s="4">
        <f t="shared" si="2"/>
        <v>3916</v>
      </c>
    </row>
    <row r="147" spans="1:17" hidden="1" x14ac:dyDescent="0.25">
      <c r="A147" s="2" t="s">
        <v>489</v>
      </c>
      <c r="B147" s="2" t="s">
        <v>36</v>
      </c>
      <c r="C147" s="2" t="s">
        <v>51</v>
      </c>
      <c r="D147" s="2" t="s">
        <v>29</v>
      </c>
      <c r="E147" s="2">
        <v>40</v>
      </c>
      <c r="F147" s="2" t="s">
        <v>21</v>
      </c>
      <c r="G147" s="2" t="s">
        <v>22</v>
      </c>
      <c r="H147" s="2" t="s">
        <v>490</v>
      </c>
      <c r="I147" s="2">
        <v>50627</v>
      </c>
      <c r="J147" s="2" t="s">
        <v>86</v>
      </c>
      <c r="K147" s="2" t="s">
        <v>491</v>
      </c>
      <c r="L147" s="2" t="s">
        <v>42</v>
      </c>
      <c r="M147" s="2" t="str">
        <f>VLOOKUP(F147,Departments!$A$1:$C$6,2,0)</f>
        <v>HR</v>
      </c>
      <c r="N147" s="2" t="str">
        <f>INDEX(Departments!$B$1:$B$6, MATCH(Employees!F147, Departments!$A$1:$A$6, 0))</f>
        <v>HR</v>
      </c>
      <c r="O147" s="3" t="str">
        <f>INDEX(Departments!$B$2:$B$6,MATCH(Employees!F147,Departments!$A$2:$A$6,0))</f>
        <v>HR</v>
      </c>
      <c r="P147" s="3">
        <f>INDEX(Performance!$C$2:$C$501,MATCH(Employees!A147,Performance!$A$2:$A$501,0))</f>
        <v>3</v>
      </c>
      <c r="Q147" s="4">
        <f t="shared" si="2"/>
        <v>3543.8900000000003</v>
      </c>
    </row>
    <row r="148" spans="1:17" hidden="1" x14ac:dyDescent="0.25">
      <c r="A148" s="2" t="s">
        <v>492</v>
      </c>
      <c r="B148" s="2" t="s">
        <v>44</v>
      </c>
      <c r="C148" s="2" t="s">
        <v>101</v>
      </c>
      <c r="D148" s="2" t="s">
        <v>29</v>
      </c>
      <c r="E148" s="2">
        <v>47</v>
      </c>
      <c r="F148" s="2" t="s">
        <v>30</v>
      </c>
      <c r="G148" s="2" t="s">
        <v>31</v>
      </c>
      <c r="H148" s="2" t="s">
        <v>493</v>
      </c>
      <c r="I148" s="2">
        <v>84212</v>
      </c>
      <c r="J148" s="2" t="s">
        <v>40</v>
      </c>
      <c r="K148" s="2" t="s">
        <v>494</v>
      </c>
      <c r="L148" s="2" t="s">
        <v>42</v>
      </c>
      <c r="M148" s="2" t="str">
        <f>VLOOKUP(F148,Departments!$A$1:$C$6,2,0)</f>
        <v>IT</v>
      </c>
      <c r="N148" s="2" t="str">
        <f>INDEX(Departments!$B$1:$B$6, MATCH(Employees!F148, Departments!$A$1:$A$6, 0))</f>
        <v>IT</v>
      </c>
      <c r="O148" s="3" t="str">
        <f>INDEX(Departments!$B$2:$B$6,MATCH(Employees!F148,Departments!$A$2:$A$6,0))</f>
        <v>IT</v>
      </c>
      <c r="P148" s="3">
        <f>INDEX(Performance!$C$2:$C$501,MATCH(Employees!A148,Performance!$A$2:$A$501,0))</f>
        <v>5</v>
      </c>
      <c r="Q148" s="4">
        <f t="shared" si="2"/>
        <v>12631.8</v>
      </c>
    </row>
    <row r="149" spans="1:17" hidden="1" x14ac:dyDescent="0.25">
      <c r="A149" s="2" t="s">
        <v>495</v>
      </c>
      <c r="B149" s="2" t="s">
        <v>60</v>
      </c>
      <c r="C149" s="2" t="s">
        <v>69</v>
      </c>
      <c r="D149" s="2" t="s">
        <v>20</v>
      </c>
      <c r="E149" s="2">
        <v>53</v>
      </c>
      <c r="F149" s="2" t="s">
        <v>56</v>
      </c>
      <c r="G149" s="2" t="s">
        <v>38</v>
      </c>
      <c r="H149" s="2" t="s">
        <v>496</v>
      </c>
      <c r="I149" s="2">
        <v>98718</v>
      </c>
      <c r="J149" s="2" t="s">
        <v>40</v>
      </c>
      <c r="K149" s="2" t="s">
        <v>497</v>
      </c>
      <c r="L149" s="2" t="s">
        <v>26</v>
      </c>
      <c r="M149" s="2" t="str">
        <f>VLOOKUP(F149,Departments!$A$1:$C$6,2,0)</f>
        <v>Finance</v>
      </c>
      <c r="N149" s="2" t="str">
        <f>INDEX(Departments!$B$1:$B$6, MATCH(Employees!F149, Departments!$A$1:$A$6, 0))</f>
        <v>Finance</v>
      </c>
      <c r="O149" s="3" t="str">
        <f>INDEX(Departments!$B$2:$B$6,MATCH(Employees!F149,Departments!$A$2:$A$6,0))</f>
        <v>Finance</v>
      </c>
      <c r="P149" s="3">
        <f>INDEX(Performance!$C$2:$C$501,MATCH(Employees!A149,Performance!$A$2:$A$501,0))</f>
        <v>5</v>
      </c>
      <c r="Q149" s="4">
        <f t="shared" si="2"/>
        <v>14807.699999999999</v>
      </c>
    </row>
    <row r="150" spans="1:17" hidden="1" x14ac:dyDescent="0.25">
      <c r="A150" s="2" t="s">
        <v>498</v>
      </c>
      <c r="B150" s="2" t="s">
        <v>149</v>
      </c>
      <c r="C150" s="2" t="s">
        <v>28</v>
      </c>
      <c r="D150" s="2" t="s">
        <v>29</v>
      </c>
      <c r="E150" s="2">
        <v>22</v>
      </c>
      <c r="F150" s="2" t="s">
        <v>21</v>
      </c>
      <c r="G150" s="2" t="s">
        <v>31</v>
      </c>
      <c r="H150" s="2" t="s">
        <v>199</v>
      </c>
      <c r="I150" s="2">
        <v>35307</v>
      </c>
      <c r="J150" s="2" t="s">
        <v>86</v>
      </c>
      <c r="K150" s="2" t="s">
        <v>499</v>
      </c>
      <c r="L150" s="2" t="s">
        <v>42</v>
      </c>
      <c r="M150" s="2" t="str">
        <f>VLOOKUP(F150,Departments!$A$1:$C$6,2,0)</f>
        <v>HR</v>
      </c>
      <c r="N150" s="2" t="str">
        <f>INDEX(Departments!$B$1:$B$6, MATCH(Employees!F150, Departments!$A$1:$A$6, 0))</f>
        <v>HR</v>
      </c>
      <c r="O150" s="3" t="str">
        <f>INDEX(Departments!$B$2:$B$6,MATCH(Employees!F150,Departments!$A$2:$A$6,0))</f>
        <v>HR</v>
      </c>
      <c r="P150" s="3">
        <f>INDEX(Performance!$C$2:$C$501,MATCH(Employees!A150,Performance!$A$2:$A$501,0))</f>
        <v>4</v>
      </c>
      <c r="Q150" s="4">
        <f t="shared" si="2"/>
        <v>3530.7000000000003</v>
      </c>
    </row>
    <row r="151" spans="1:17" hidden="1" x14ac:dyDescent="0.25">
      <c r="A151" s="2" t="s">
        <v>500</v>
      </c>
      <c r="B151" s="2" t="s">
        <v>36</v>
      </c>
      <c r="C151" s="2" t="s">
        <v>136</v>
      </c>
      <c r="D151" s="2" t="s">
        <v>20</v>
      </c>
      <c r="E151" s="2">
        <v>54</v>
      </c>
      <c r="F151" s="2" t="s">
        <v>30</v>
      </c>
      <c r="G151" s="2" t="s">
        <v>114</v>
      </c>
      <c r="H151" s="2" t="s">
        <v>501</v>
      </c>
      <c r="I151" s="2">
        <v>92735</v>
      </c>
      <c r="J151" s="2" t="s">
        <v>66</v>
      </c>
      <c r="K151" s="2" t="s">
        <v>502</v>
      </c>
      <c r="L151" s="2" t="s">
        <v>42</v>
      </c>
      <c r="M151" s="2" t="str">
        <f>VLOOKUP(F151,Departments!$A$1:$C$6,2,0)</f>
        <v>IT</v>
      </c>
      <c r="N151" s="2" t="str">
        <f>INDEX(Departments!$B$1:$B$6, MATCH(Employees!F151, Departments!$A$1:$A$6, 0))</f>
        <v>IT</v>
      </c>
      <c r="O151" s="3" t="str">
        <f>INDEX(Departments!$B$2:$B$6,MATCH(Employees!F151,Departments!$A$2:$A$6,0))</f>
        <v>IT</v>
      </c>
      <c r="P151" s="3">
        <f>INDEX(Performance!$C$2:$C$501,MATCH(Employees!A151,Performance!$A$2:$A$501,0))</f>
        <v>1</v>
      </c>
      <c r="Q151" s="4">
        <f t="shared" si="2"/>
        <v>4636.75</v>
      </c>
    </row>
    <row r="152" spans="1:17" hidden="1" x14ac:dyDescent="0.25">
      <c r="A152" s="2" t="s">
        <v>503</v>
      </c>
      <c r="B152" s="2" t="s">
        <v>100</v>
      </c>
      <c r="C152" s="2" t="s">
        <v>19</v>
      </c>
      <c r="D152" s="2" t="s">
        <v>29</v>
      </c>
      <c r="E152" s="2">
        <v>45</v>
      </c>
      <c r="F152" s="2" t="s">
        <v>56</v>
      </c>
      <c r="G152" s="2" t="s">
        <v>22</v>
      </c>
      <c r="H152" s="2" t="s">
        <v>504</v>
      </c>
      <c r="I152" s="2">
        <v>55679</v>
      </c>
      <c r="J152" s="2" t="s">
        <v>66</v>
      </c>
      <c r="K152" s="2" t="s">
        <v>505</v>
      </c>
      <c r="L152" s="2" t="s">
        <v>42</v>
      </c>
      <c r="M152" s="2" t="str">
        <f>VLOOKUP(F152,Departments!$A$1:$C$6,2,0)</f>
        <v>Finance</v>
      </c>
      <c r="N152" s="2" t="str">
        <f>INDEX(Departments!$B$1:$B$6, MATCH(Employees!F152, Departments!$A$1:$A$6, 0))</f>
        <v>Finance</v>
      </c>
      <c r="O152" s="3" t="str">
        <f>INDEX(Departments!$B$2:$B$6,MATCH(Employees!F152,Departments!$A$2:$A$6,0))</f>
        <v>Finance</v>
      </c>
      <c r="P152" s="3">
        <f>INDEX(Performance!$C$2:$C$501,MATCH(Employees!A152,Performance!$A$2:$A$501,0))</f>
        <v>2</v>
      </c>
      <c r="Q152" s="4">
        <f t="shared" si="2"/>
        <v>2783.9500000000003</v>
      </c>
    </row>
    <row r="153" spans="1:17" hidden="1" x14ac:dyDescent="0.25">
      <c r="A153" s="2" t="s">
        <v>506</v>
      </c>
      <c r="B153" s="2" t="s">
        <v>44</v>
      </c>
      <c r="C153" s="2" t="s">
        <v>96</v>
      </c>
      <c r="D153" s="2" t="s">
        <v>20</v>
      </c>
      <c r="E153" s="2">
        <v>25</v>
      </c>
      <c r="F153" s="2" t="s">
        <v>30</v>
      </c>
      <c r="G153" s="2" t="s">
        <v>38</v>
      </c>
      <c r="H153" s="2" t="s">
        <v>507</v>
      </c>
      <c r="I153" s="2">
        <v>94614</v>
      </c>
      <c r="J153" s="2" t="s">
        <v>40</v>
      </c>
      <c r="K153" s="2" t="s">
        <v>508</v>
      </c>
      <c r="L153" s="2" t="s">
        <v>26</v>
      </c>
      <c r="M153" s="2" t="str">
        <f>VLOOKUP(F153,Departments!$A$1:$C$6,2,0)</f>
        <v>IT</v>
      </c>
      <c r="N153" s="2" t="str">
        <f>INDEX(Departments!$B$1:$B$6, MATCH(Employees!F153, Departments!$A$1:$A$6, 0))</f>
        <v>IT</v>
      </c>
      <c r="O153" s="3" t="str">
        <f>INDEX(Departments!$B$2:$B$6,MATCH(Employees!F153,Departments!$A$2:$A$6,0))</f>
        <v>IT</v>
      </c>
      <c r="P153" s="3">
        <f>INDEX(Performance!$C$2:$C$501,MATCH(Employees!A153,Performance!$A$2:$A$501,0))</f>
        <v>5</v>
      </c>
      <c r="Q153" s="4">
        <f t="shared" si="2"/>
        <v>14192.1</v>
      </c>
    </row>
    <row r="154" spans="1:17" hidden="1" x14ac:dyDescent="0.25">
      <c r="A154" s="2" t="s">
        <v>509</v>
      </c>
      <c r="B154" s="2" t="s">
        <v>36</v>
      </c>
      <c r="C154" s="2" t="s">
        <v>96</v>
      </c>
      <c r="D154" s="2" t="s">
        <v>29</v>
      </c>
      <c r="E154" s="2">
        <v>53</v>
      </c>
      <c r="F154" s="2" t="s">
        <v>37</v>
      </c>
      <c r="G154" s="2" t="s">
        <v>46</v>
      </c>
      <c r="H154" s="2" t="s">
        <v>510</v>
      </c>
      <c r="I154" s="2">
        <v>102516</v>
      </c>
      <c r="J154" s="2" t="s">
        <v>40</v>
      </c>
      <c r="K154" s="2" t="s">
        <v>511</v>
      </c>
      <c r="L154" s="2" t="s">
        <v>26</v>
      </c>
      <c r="M154" s="2" t="str">
        <f>VLOOKUP(F154,Departments!$A$1:$C$6,2,0)</f>
        <v>Sales</v>
      </c>
      <c r="N154" s="2" t="str">
        <f>INDEX(Departments!$B$1:$B$6, MATCH(Employees!F154, Departments!$A$1:$A$6, 0))</f>
        <v>Sales</v>
      </c>
      <c r="O154" s="3" t="str">
        <f>INDEX(Departments!$B$2:$B$6,MATCH(Employees!F154,Departments!$A$2:$A$6,0))</f>
        <v>Sales</v>
      </c>
      <c r="P154" s="3">
        <f>INDEX(Performance!$C$2:$C$501,MATCH(Employees!A154,Performance!$A$2:$A$501,0))</f>
        <v>5</v>
      </c>
      <c r="Q154" s="4">
        <f t="shared" si="2"/>
        <v>15377.4</v>
      </c>
    </row>
    <row r="155" spans="1:17" hidden="1" x14ac:dyDescent="0.25">
      <c r="A155" s="2" t="s">
        <v>512</v>
      </c>
      <c r="B155" s="2" t="s">
        <v>55</v>
      </c>
      <c r="C155" s="2" t="s">
        <v>96</v>
      </c>
      <c r="D155" s="2" t="s">
        <v>29</v>
      </c>
      <c r="E155" s="2">
        <v>48</v>
      </c>
      <c r="F155" s="2" t="s">
        <v>37</v>
      </c>
      <c r="G155" s="2" t="s">
        <v>22</v>
      </c>
      <c r="H155" s="2" t="s">
        <v>513</v>
      </c>
      <c r="I155" s="2">
        <v>47666</v>
      </c>
      <c r="J155" s="2" t="s">
        <v>86</v>
      </c>
      <c r="K155" s="2" t="s">
        <v>514</v>
      </c>
      <c r="L155" s="2" t="s">
        <v>42</v>
      </c>
      <c r="M155" s="2" t="str">
        <f>VLOOKUP(F155,Departments!$A$1:$C$6,2,0)</f>
        <v>Sales</v>
      </c>
      <c r="N155" s="2" t="str">
        <f>INDEX(Departments!$B$1:$B$6, MATCH(Employees!F155, Departments!$A$1:$A$6, 0))</f>
        <v>Sales</v>
      </c>
      <c r="O155" s="3" t="str">
        <f>INDEX(Departments!$B$2:$B$6,MATCH(Employees!F155,Departments!$A$2:$A$6,0))</f>
        <v>Sales</v>
      </c>
      <c r="P155" s="3">
        <f>INDEX(Performance!$C$2:$C$501,MATCH(Employees!A155,Performance!$A$2:$A$501,0))</f>
        <v>2</v>
      </c>
      <c r="Q155" s="4">
        <f t="shared" si="2"/>
        <v>2383.3000000000002</v>
      </c>
    </row>
    <row r="156" spans="1:17" hidden="1" x14ac:dyDescent="0.25">
      <c r="A156" s="2" t="s">
        <v>515</v>
      </c>
      <c r="B156" s="2" t="s">
        <v>60</v>
      </c>
      <c r="C156" s="2" t="s">
        <v>28</v>
      </c>
      <c r="D156" s="2" t="s">
        <v>20</v>
      </c>
      <c r="E156" s="2">
        <v>27</v>
      </c>
      <c r="F156" s="2" t="s">
        <v>21</v>
      </c>
      <c r="G156" s="2" t="s">
        <v>46</v>
      </c>
      <c r="H156" s="2" t="s">
        <v>516</v>
      </c>
      <c r="I156" s="2">
        <v>72710</v>
      </c>
      <c r="J156" s="2" t="s">
        <v>86</v>
      </c>
      <c r="K156" s="2" t="s">
        <v>517</v>
      </c>
      <c r="L156" s="2" t="s">
        <v>42</v>
      </c>
      <c r="M156" s="2" t="str">
        <f>VLOOKUP(F156,Departments!$A$1:$C$6,2,0)</f>
        <v>HR</v>
      </c>
      <c r="N156" s="2" t="str">
        <f>INDEX(Departments!$B$1:$B$6, MATCH(Employees!F156, Departments!$A$1:$A$6, 0))</f>
        <v>HR</v>
      </c>
      <c r="O156" s="3" t="str">
        <f>INDEX(Departments!$B$2:$B$6,MATCH(Employees!F156,Departments!$A$2:$A$6,0))</f>
        <v>HR</v>
      </c>
      <c r="P156" s="3">
        <f>INDEX(Performance!$C$2:$C$501,MATCH(Employees!A156,Performance!$A$2:$A$501,0))</f>
        <v>2</v>
      </c>
      <c r="Q156" s="4">
        <f t="shared" si="2"/>
        <v>3635.5</v>
      </c>
    </row>
    <row r="157" spans="1:17" hidden="1" x14ac:dyDescent="0.25">
      <c r="A157" s="2" t="s">
        <v>518</v>
      </c>
      <c r="B157" s="2" t="s">
        <v>77</v>
      </c>
      <c r="C157" s="2" t="s">
        <v>28</v>
      </c>
      <c r="D157" s="2" t="s">
        <v>29</v>
      </c>
      <c r="E157" s="2">
        <v>22</v>
      </c>
      <c r="F157" s="2" t="s">
        <v>30</v>
      </c>
      <c r="G157" s="2" t="s">
        <v>114</v>
      </c>
      <c r="H157" s="2" t="s">
        <v>519</v>
      </c>
      <c r="I157" s="2">
        <v>60944</v>
      </c>
      <c r="J157" s="2" t="s">
        <v>71</v>
      </c>
      <c r="K157" s="2" t="s">
        <v>520</v>
      </c>
      <c r="L157" s="2" t="s">
        <v>42</v>
      </c>
      <c r="M157" s="2" t="str">
        <f>VLOOKUP(F157,Departments!$A$1:$C$6,2,0)</f>
        <v>IT</v>
      </c>
      <c r="N157" s="2" t="str">
        <f>INDEX(Departments!$B$1:$B$6, MATCH(Employees!F157, Departments!$A$1:$A$6, 0))</f>
        <v>IT</v>
      </c>
      <c r="O157" s="3" t="str">
        <f>INDEX(Departments!$B$2:$B$6,MATCH(Employees!F157,Departments!$A$2:$A$6,0))</f>
        <v>IT</v>
      </c>
      <c r="P157" s="3">
        <f>INDEX(Performance!$C$2:$C$501,MATCH(Employees!A157,Performance!$A$2:$A$501,0))</f>
        <v>3</v>
      </c>
      <c r="Q157" s="4">
        <f t="shared" si="2"/>
        <v>4266.0800000000008</v>
      </c>
    </row>
    <row r="158" spans="1:17" hidden="1" x14ac:dyDescent="0.25">
      <c r="A158" s="2" t="s">
        <v>521</v>
      </c>
      <c r="B158" s="2" t="s">
        <v>60</v>
      </c>
      <c r="C158" s="2" t="s">
        <v>84</v>
      </c>
      <c r="D158" s="2" t="s">
        <v>20</v>
      </c>
      <c r="E158" s="2">
        <v>39</v>
      </c>
      <c r="F158" s="2" t="s">
        <v>56</v>
      </c>
      <c r="G158" s="2" t="s">
        <v>38</v>
      </c>
      <c r="H158" s="2" t="s">
        <v>522</v>
      </c>
      <c r="I158" s="2">
        <v>87181</v>
      </c>
      <c r="J158" s="2" t="s">
        <v>66</v>
      </c>
      <c r="K158" s="2" t="s">
        <v>523</v>
      </c>
      <c r="L158" s="2" t="s">
        <v>26</v>
      </c>
      <c r="M158" s="2" t="str">
        <f>VLOOKUP(F158,Departments!$A$1:$C$6,2,0)</f>
        <v>Finance</v>
      </c>
      <c r="N158" s="2" t="str">
        <f>INDEX(Departments!$B$1:$B$6, MATCH(Employees!F158, Departments!$A$1:$A$6, 0))</f>
        <v>Finance</v>
      </c>
      <c r="O158" s="3" t="str">
        <f>INDEX(Departments!$B$2:$B$6,MATCH(Employees!F158,Departments!$A$2:$A$6,0))</f>
        <v>Finance</v>
      </c>
      <c r="P158" s="3">
        <f>INDEX(Performance!$C$2:$C$501,MATCH(Employees!A158,Performance!$A$2:$A$501,0))</f>
        <v>5</v>
      </c>
      <c r="Q158" s="4">
        <f t="shared" si="2"/>
        <v>13077.15</v>
      </c>
    </row>
    <row r="159" spans="1:17" hidden="1" x14ac:dyDescent="0.25">
      <c r="A159" s="2" t="s">
        <v>524</v>
      </c>
      <c r="B159" s="2" t="s">
        <v>77</v>
      </c>
      <c r="C159" s="2" t="s">
        <v>69</v>
      </c>
      <c r="D159" s="2" t="s">
        <v>20</v>
      </c>
      <c r="E159" s="2">
        <v>42</v>
      </c>
      <c r="F159" s="2" t="s">
        <v>37</v>
      </c>
      <c r="G159" s="2" t="s">
        <v>38</v>
      </c>
      <c r="H159" s="2" t="s">
        <v>525</v>
      </c>
      <c r="I159" s="2">
        <v>65659</v>
      </c>
      <c r="J159" s="2" t="s">
        <v>71</v>
      </c>
      <c r="K159" s="2" t="s">
        <v>526</v>
      </c>
      <c r="L159" s="2" t="s">
        <v>42</v>
      </c>
      <c r="M159" s="2" t="str">
        <f>VLOOKUP(F159,Departments!$A$1:$C$6,2,0)</f>
        <v>Sales</v>
      </c>
      <c r="N159" s="2" t="str">
        <f>INDEX(Departments!$B$1:$B$6, MATCH(Employees!F159, Departments!$A$1:$A$6, 0))</f>
        <v>Sales</v>
      </c>
      <c r="O159" s="3" t="str">
        <f>INDEX(Departments!$B$2:$B$6,MATCH(Employees!F159,Departments!$A$2:$A$6,0))</f>
        <v>Sales</v>
      </c>
      <c r="P159" s="3">
        <f>INDEX(Performance!$C$2:$C$501,MATCH(Employees!A159,Performance!$A$2:$A$501,0))</f>
        <v>3</v>
      </c>
      <c r="Q159" s="4">
        <f t="shared" si="2"/>
        <v>4596.13</v>
      </c>
    </row>
    <row r="160" spans="1:17" hidden="1" x14ac:dyDescent="0.25">
      <c r="A160" s="2" t="s">
        <v>527</v>
      </c>
      <c r="B160" s="2" t="s">
        <v>55</v>
      </c>
      <c r="C160" s="2" t="s">
        <v>84</v>
      </c>
      <c r="D160" s="2" t="s">
        <v>29</v>
      </c>
      <c r="E160" s="2">
        <v>46</v>
      </c>
      <c r="F160" s="2" t="s">
        <v>56</v>
      </c>
      <c r="G160" s="2" t="s">
        <v>38</v>
      </c>
      <c r="H160" s="2" t="s">
        <v>528</v>
      </c>
      <c r="I160" s="2">
        <v>100538</v>
      </c>
      <c r="J160" s="2" t="s">
        <v>71</v>
      </c>
      <c r="K160" s="2" t="s">
        <v>529</v>
      </c>
      <c r="L160" s="2" t="s">
        <v>26</v>
      </c>
      <c r="M160" s="2" t="str">
        <f>VLOOKUP(F160,Departments!$A$1:$C$6,2,0)</f>
        <v>Finance</v>
      </c>
      <c r="N160" s="2" t="str">
        <f>INDEX(Departments!$B$1:$B$6, MATCH(Employees!F160, Departments!$A$1:$A$6, 0))</f>
        <v>Finance</v>
      </c>
      <c r="O160" s="3" t="str">
        <f>INDEX(Departments!$B$2:$B$6,MATCH(Employees!F160,Departments!$A$2:$A$6,0))</f>
        <v>Finance</v>
      </c>
      <c r="P160" s="3">
        <f>INDEX(Performance!$C$2:$C$501,MATCH(Employees!A160,Performance!$A$2:$A$501,0))</f>
        <v>5</v>
      </c>
      <c r="Q160" s="4">
        <f t="shared" si="2"/>
        <v>15080.699999999999</v>
      </c>
    </row>
    <row r="161" spans="1:17" hidden="1" x14ac:dyDescent="0.25">
      <c r="A161" s="2" t="s">
        <v>530</v>
      </c>
      <c r="B161" s="2" t="s">
        <v>77</v>
      </c>
      <c r="C161" s="2" t="s">
        <v>171</v>
      </c>
      <c r="D161" s="2" t="s">
        <v>29</v>
      </c>
      <c r="E161" s="2">
        <v>49</v>
      </c>
      <c r="F161" s="2" t="s">
        <v>56</v>
      </c>
      <c r="G161" s="2" t="s">
        <v>38</v>
      </c>
      <c r="H161" s="2" t="s">
        <v>531</v>
      </c>
      <c r="I161" s="2">
        <v>109819</v>
      </c>
      <c r="J161" s="2" t="s">
        <v>24</v>
      </c>
      <c r="K161" s="2" t="s">
        <v>532</v>
      </c>
      <c r="L161" s="2" t="s">
        <v>26</v>
      </c>
      <c r="M161" s="2" t="str">
        <f>VLOOKUP(F161,Departments!$A$1:$C$6,2,0)</f>
        <v>Finance</v>
      </c>
      <c r="N161" s="2" t="str">
        <f>INDEX(Departments!$B$1:$B$6, MATCH(Employees!F161, Departments!$A$1:$A$6, 0))</f>
        <v>Finance</v>
      </c>
      <c r="O161" s="3" t="str">
        <f>INDEX(Departments!$B$2:$B$6,MATCH(Employees!F161,Departments!$A$2:$A$6,0))</f>
        <v>Finance</v>
      </c>
      <c r="P161" s="3">
        <f>INDEX(Performance!$C$2:$C$501,MATCH(Employees!A161,Performance!$A$2:$A$501,0))</f>
        <v>4</v>
      </c>
      <c r="Q161" s="4">
        <f t="shared" si="2"/>
        <v>10981.900000000001</v>
      </c>
    </row>
    <row r="162" spans="1:17" hidden="1" x14ac:dyDescent="0.25">
      <c r="A162" s="2" t="s">
        <v>533</v>
      </c>
      <c r="B162" s="2" t="s">
        <v>44</v>
      </c>
      <c r="C162" s="2" t="s">
        <v>19</v>
      </c>
      <c r="D162" s="2" t="s">
        <v>20</v>
      </c>
      <c r="E162" s="2">
        <v>24</v>
      </c>
      <c r="F162" s="2" t="s">
        <v>37</v>
      </c>
      <c r="G162" s="2" t="s">
        <v>46</v>
      </c>
      <c r="H162" s="2" t="s">
        <v>534</v>
      </c>
      <c r="I162" s="2">
        <v>113747</v>
      </c>
      <c r="J162" s="2" t="s">
        <v>66</v>
      </c>
      <c r="K162" s="2" t="s">
        <v>535</v>
      </c>
      <c r="L162" s="2" t="s">
        <v>26</v>
      </c>
      <c r="M162" s="2" t="str">
        <f>VLOOKUP(F162,Departments!$A$1:$C$6,2,0)</f>
        <v>Sales</v>
      </c>
      <c r="N162" s="2" t="str">
        <f>INDEX(Departments!$B$1:$B$6, MATCH(Employees!F162, Departments!$A$1:$A$6, 0))</f>
        <v>Sales</v>
      </c>
      <c r="O162" s="3" t="str">
        <f>INDEX(Departments!$B$2:$B$6,MATCH(Employees!F162,Departments!$A$2:$A$6,0))</f>
        <v>Sales</v>
      </c>
      <c r="P162" s="3">
        <f>INDEX(Performance!$C$2:$C$501,MATCH(Employees!A162,Performance!$A$2:$A$501,0))</f>
        <v>3</v>
      </c>
      <c r="Q162" s="4">
        <f t="shared" si="2"/>
        <v>7962.2900000000009</v>
      </c>
    </row>
    <row r="163" spans="1:17" hidden="1" x14ac:dyDescent="0.25">
      <c r="A163" s="2" t="s">
        <v>536</v>
      </c>
      <c r="B163" s="2" t="s">
        <v>100</v>
      </c>
      <c r="C163" s="2" t="s">
        <v>51</v>
      </c>
      <c r="D163" s="2" t="s">
        <v>29</v>
      </c>
      <c r="E163" s="2">
        <v>51</v>
      </c>
      <c r="F163" s="2" t="s">
        <v>56</v>
      </c>
      <c r="G163" s="2" t="s">
        <v>31</v>
      </c>
      <c r="H163" s="2" t="s">
        <v>264</v>
      </c>
      <c r="I163" s="2">
        <v>103468</v>
      </c>
      <c r="J163" s="2" t="s">
        <v>71</v>
      </c>
      <c r="K163" s="2" t="s">
        <v>537</v>
      </c>
      <c r="L163" s="2" t="s">
        <v>26</v>
      </c>
      <c r="M163" s="2" t="str">
        <f>VLOOKUP(F163,Departments!$A$1:$C$6,2,0)</f>
        <v>Finance</v>
      </c>
      <c r="N163" s="2" t="str">
        <f>INDEX(Departments!$B$1:$B$6, MATCH(Employees!F163, Departments!$A$1:$A$6, 0))</f>
        <v>Finance</v>
      </c>
      <c r="O163" s="3" t="str">
        <f>INDEX(Departments!$B$2:$B$6,MATCH(Employees!F163,Departments!$A$2:$A$6,0))</f>
        <v>Finance</v>
      </c>
      <c r="P163" s="3">
        <f>INDEX(Performance!$C$2:$C$501,MATCH(Employees!A163,Performance!$A$2:$A$501,0))</f>
        <v>4</v>
      </c>
      <c r="Q163" s="4">
        <f t="shared" si="2"/>
        <v>10346.800000000001</v>
      </c>
    </row>
    <row r="164" spans="1:17" hidden="1" x14ac:dyDescent="0.25">
      <c r="A164" s="2" t="s">
        <v>538</v>
      </c>
      <c r="B164" s="2" t="s">
        <v>36</v>
      </c>
      <c r="C164" s="2" t="s">
        <v>96</v>
      </c>
      <c r="D164" s="2" t="s">
        <v>29</v>
      </c>
      <c r="E164" s="2">
        <v>22</v>
      </c>
      <c r="F164" s="2" t="s">
        <v>37</v>
      </c>
      <c r="G164" s="2" t="s">
        <v>38</v>
      </c>
      <c r="H164" s="2" t="s">
        <v>539</v>
      </c>
      <c r="I164" s="2">
        <v>55327</v>
      </c>
      <c r="J164" s="2" t="s">
        <v>71</v>
      </c>
      <c r="K164" s="2" t="s">
        <v>540</v>
      </c>
      <c r="L164" s="2" t="s">
        <v>42</v>
      </c>
      <c r="M164" s="2" t="str">
        <f>VLOOKUP(F164,Departments!$A$1:$C$6,2,0)</f>
        <v>Sales</v>
      </c>
      <c r="N164" s="2" t="str">
        <f>INDEX(Departments!$B$1:$B$6, MATCH(Employees!F164, Departments!$A$1:$A$6, 0))</f>
        <v>Sales</v>
      </c>
      <c r="O164" s="3" t="str">
        <f>INDEX(Departments!$B$2:$B$6,MATCH(Employees!F164,Departments!$A$2:$A$6,0))</f>
        <v>Sales</v>
      </c>
      <c r="P164" s="3">
        <f>INDEX(Performance!$C$2:$C$501,MATCH(Employees!A164,Performance!$A$2:$A$501,0))</f>
        <v>4</v>
      </c>
      <c r="Q164" s="4">
        <f t="shared" si="2"/>
        <v>5532.7000000000007</v>
      </c>
    </row>
    <row r="165" spans="1:17" hidden="1" x14ac:dyDescent="0.25">
      <c r="A165" s="2" t="s">
        <v>541</v>
      </c>
      <c r="B165" s="2" t="s">
        <v>55</v>
      </c>
      <c r="C165" s="2" t="s">
        <v>51</v>
      </c>
      <c r="D165" s="2" t="s">
        <v>29</v>
      </c>
      <c r="E165" s="2">
        <v>43</v>
      </c>
      <c r="F165" s="2" t="s">
        <v>37</v>
      </c>
      <c r="G165" s="2" t="s">
        <v>31</v>
      </c>
      <c r="H165" s="2" t="s">
        <v>542</v>
      </c>
      <c r="I165" s="2">
        <v>89628</v>
      </c>
      <c r="J165" s="2" t="s">
        <v>66</v>
      </c>
      <c r="K165" s="2" t="s">
        <v>543</v>
      </c>
      <c r="L165" s="2" t="s">
        <v>26</v>
      </c>
      <c r="M165" s="2" t="str">
        <f>VLOOKUP(F165,Departments!$A$1:$C$6,2,0)</f>
        <v>Sales</v>
      </c>
      <c r="N165" s="2" t="str">
        <f>INDEX(Departments!$B$1:$B$6, MATCH(Employees!F165, Departments!$A$1:$A$6, 0))</f>
        <v>Sales</v>
      </c>
      <c r="O165" s="3" t="str">
        <f>INDEX(Departments!$B$2:$B$6,MATCH(Employees!F165,Departments!$A$2:$A$6,0))</f>
        <v>Sales</v>
      </c>
      <c r="P165" s="3">
        <f>INDEX(Performance!$C$2:$C$501,MATCH(Employees!A165,Performance!$A$2:$A$501,0))</f>
        <v>3</v>
      </c>
      <c r="Q165" s="4">
        <f t="shared" si="2"/>
        <v>6273.9600000000009</v>
      </c>
    </row>
    <row r="166" spans="1:17" hidden="1" x14ac:dyDescent="0.25">
      <c r="A166" s="2" t="s">
        <v>544</v>
      </c>
      <c r="B166" s="2" t="s">
        <v>50</v>
      </c>
      <c r="C166" s="2" t="s">
        <v>84</v>
      </c>
      <c r="D166" s="2" t="s">
        <v>20</v>
      </c>
      <c r="E166" s="2">
        <v>25</v>
      </c>
      <c r="F166" s="2" t="s">
        <v>56</v>
      </c>
      <c r="G166" s="2" t="s">
        <v>114</v>
      </c>
      <c r="H166" s="2" t="s">
        <v>545</v>
      </c>
      <c r="I166" s="2">
        <v>98304</v>
      </c>
      <c r="J166" s="2" t="s">
        <v>86</v>
      </c>
      <c r="K166" s="2" t="s">
        <v>546</v>
      </c>
      <c r="L166" s="2" t="s">
        <v>42</v>
      </c>
      <c r="M166" s="2" t="str">
        <f>VLOOKUP(F166,Departments!$A$1:$C$6,2,0)</f>
        <v>Finance</v>
      </c>
      <c r="N166" s="2" t="str">
        <f>INDEX(Departments!$B$1:$B$6, MATCH(Employees!F166, Departments!$A$1:$A$6, 0))</f>
        <v>Finance</v>
      </c>
      <c r="O166" s="3" t="str">
        <f>INDEX(Departments!$B$2:$B$6,MATCH(Employees!F166,Departments!$A$2:$A$6,0))</f>
        <v>Finance</v>
      </c>
      <c r="P166" s="3">
        <f>INDEX(Performance!$C$2:$C$501,MATCH(Employees!A166,Performance!$A$2:$A$501,0))</f>
        <v>5</v>
      </c>
      <c r="Q166" s="4">
        <f t="shared" si="2"/>
        <v>14745.599999999999</v>
      </c>
    </row>
    <row r="167" spans="1:17" hidden="1" x14ac:dyDescent="0.25">
      <c r="A167" s="2" t="s">
        <v>547</v>
      </c>
      <c r="B167" s="2" t="s">
        <v>60</v>
      </c>
      <c r="C167" s="2" t="s">
        <v>96</v>
      </c>
      <c r="D167" s="2" t="s">
        <v>20</v>
      </c>
      <c r="E167" s="2">
        <v>50</v>
      </c>
      <c r="F167" s="2" t="s">
        <v>21</v>
      </c>
      <c r="G167" s="2" t="s">
        <v>31</v>
      </c>
      <c r="H167" s="2" t="s">
        <v>548</v>
      </c>
      <c r="I167" s="2">
        <v>116611</v>
      </c>
      <c r="J167" s="2" t="s">
        <v>71</v>
      </c>
      <c r="K167" s="2" t="s">
        <v>549</v>
      </c>
      <c r="L167" s="2" t="s">
        <v>42</v>
      </c>
      <c r="M167" s="2" t="str">
        <f>VLOOKUP(F167,Departments!$A$1:$C$6,2,0)</f>
        <v>HR</v>
      </c>
      <c r="N167" s="2" t="str">
        <f>INDEX(Departments!$B$1:$B$6, MATCH(Employees!F167, Departments!$A$1:$A$6, 0))</f>
        <v>HR</v>
      </c>
      <c r="O167" s="3" t="str">
        <f>INDEX(Departments!$B$2:$B$6,MATCH(Employees!F167,Departments!$A$2:$A$6,0))</f>
        <v>HR</v>
      </c>
      <c r="P167" s="3">
        <f>INDEX(Performance!$C$2:$C$501,MATCH(Employees!A167,Performance!$A$2:$A$501,0))</f>
        <v>2</v>
      </c>
      <c r="Q167" s="4">
        <f t="shared" si="2"/>
        <v>5830.55</v>
      </c>
    </row>
    <row r="168" spans="1:17" x14ac:dyDescent="0.25">
      <c r="A168" s="2" t="s">
        <v>550</v>
      </c>
      <c r="B168" s="2" t="s">
        <v>44</v>
      </c>
      <c r="C168" s="2" t="s">
        <v>84</v>
      </c>
      <c r="D168" s="2" t="s">
        <v>29</v>
      </c>
      <c r="E168" s="2">
        <v>41</v>
      </c>
      <c r="F168" s="2" t="s">
        <v>45</v>
      </c>
      <c r="G168" s="2" t="s">
        <v>22</v>
      </c>
      <c r="H168" s="2" t="s">
        <v>551</v>
      </c>
      <c r="I168" s="2">
        <v>45748</v>
      </c>
      <c r="J168" s="2" t="s">
        <v>24</v>
      </c>
      <c r="K168" s="2" t="s">
        <v>552</v>
      </c>
      <c r="L168" s="2" t="s">
        <v>42</v>
      </c>
      <c r="M168" s="2" t="str">
        <f>VLOOKUP(F168,Departments!$A$1:$C$6,2,0)</f>
        <v>Marketing</v>
      </c>
      <c r="N168" s="2" t="str">
        <f>INDEX(Departments!$B$1:$B$6, MATCH(Employees!F168, Departments!$A$1:$A$6, 0))</f>
        <v>Marketing</v>
      </c>
      <c r="O168" s="6" t="str">
        <f>INDEX(Departments!$B$2:$B$6,MATCH(Employees!F168,Departments!$A$2:$A$6,0))</f>
        <v>Marketing</v>
      </c>
      <c r="P168" s="6">
        <f>_xlfn.XLOOKUP(A168,Performance!$A$2:$A$501,Performance!$C$2:$C$501)</f>
        <v>1</v>
      </c>
      <c r="Q168" s="7">
        <f t="shared" si="2"/>
        <v>2287.4</v>
      </c>
    </row>
    <row r="169" spans="1:17" hidden="1" x14ac:dyDescent="0.25">
      <c r="A169" s="2" t="s">
        <v>553</v>
      </c>
      <c r="B169" s="2" t="s">
        <v>60</v>
      </c>
      <c r="C169" s="2" t="s">
        <v>89</v>
      </c>
      <c r="D169" s="2" t="s">
        <v>29</v>
      </c>
      <c r="E169" s="2">
        <v>48</v>
      </c>
      <c r="F169" s="2" t="s">
        <v>45</v>
      </c>
      <c r="G169" s="2" t="s">
        <v>38</v>
      </c>
      <c r="H169" s="2" t="s">
        <v>554</v>
      </c>
      <c r="I169" s="2">
        <v>45767</v>
      </c>
      <c r="J169" s="2" t="s">
        <v>86</v>
      </c>
      <c r="K169" s="2" t="s">
        <v>555</v>
      </c>
      <c r="L169" s="2" t="s">
        <v>42</v>
      </c>
      <c r="M169" s="2" t="str">
        <f>VLOOKUP(F169,Departments!$A$1:$C$6,2,0)</f>
        <v>Marketing</v>
      </c>
      <c r="N169" s="2" t="str">
        <f>INDEX(Departments!$B$1:$B$6, MATCH(Employees!F169, Departments!$A$1:$A$6, 0))</f>
        <v>Marketing</v>
      </c>
      <c r="O169" s="3" t="str">
        <f>INDEX(Departments!$B$2:$B$6,MATCH(Employees!F169,Departments!$A$2:$A$6,0))</f>
        <v>Marketing</v>
      </c>
      <c r="P169" s="3">
        <f>INDEX(Performance!$C$2:$C$501,MATCH(Employees!A169,Performance!$A$2:$A$501,0))</f>
        <v>2</v>
      </c>
      <c r="Q169" s="4">
        <f t="shared" si="2"/>
        <v>2288.35</v>
      </c>
    </row>
    <row r="170" spans="1:17" hidden="1" x14ac:dyDescent="0.25">
      <c r="A170" s="2" t="s">
        <v>556</v>
      </c>
      <c r="B170" s="2" t="s">
        <v>64</v>
      </c>
      <c r="C170" s="2" t="s">
        <v>51</v>
      </c>
      <c r="D170" s="2" t="s">
        <v>29</v>
      </c>
      <c r="E170" s="2">
        <v>49</v>
      </c>
      <c r="F170" s="2" t="s">
        <v>56</v>
      </c>
      <c r="G170" s="2" t="s">
        <v>114</v>
      </c>
      <c r="H170" s="2" t="s">
        <v>557</v>
      </c>
      <c r="I170" s="2">
        <v>63927</v>
      </c>
      <c r="J170" s="2" t="s">
        <v>40</v>
      </c>
      <c r="K170" s="2" t="s">
        <v>558</v>
      </c>
      <c r="L170" s="2" t="s">
        <v>42</v>
      </c>
      <c r="M170" s="2" t="str">
        <f>VLOOKUP(F170,Departments!$A$1:$C$6,2,0)</f>
        <v>Finance</v>
      </c>
      <c r="N170" s="2" t="str">
        <f>INDEX(Departments!$B$1:$B$6, MATCH(Employees!F170, Departments!$A$1:$A$6, 0))</f>
        <v>Finance</v>
      </c>
      <c r="O170" s="3" t="str">
        <f>INDEX(Departments!$B$2:$B$6,MATCH(Employees!F170,Departments!$A$2:$A$6,0))</f>
        <v>Finance</v>
      </c>
      <c r="P170" s="3">
        <f>INDEX(Performance!$C$2:$C$501,MATCH(Employees!A170,Performance!$A$2:$A$501,0))</f>
        <v>2</v>
      </c>
      <c r="Q170" s="4">
        <f t="shared" si="2"/>
        <v>3196.3500000000004</v>
      </c>
    </row>
    <row r="171" spans="1:17" hidden="1" x14ac:dyDescent="0.25">
      <c r="A171" s="2" t="s">
        <v>559</v>
      </c>
      <c r="B171" s="2" t="s">
        <v>77</v>
      </c>
      <c r="C171" s="2" t="s">
        <v>28</v>
      </c>
      <c r="D171" s="2" t="s">
        <v>29</v>
      </c>
      <c r="E171" s="2">
        <v>46</v>
      </c>
      <c r="F171" s="2" t="s">
        <v>21</v>
      </c>
      <c r="G171" s="2" t="s">
        <v>114</v>
      </c>
      <c r="H171" s="2" t="s">
        <v>560</v>
      </c>
      <c r="I171" s="2">
        <v>116657</v>
      </c>
      <c r="J171" s="2" t="s">
        <v>66</v>
      </c>
      <c r="K171" s="2" t="s">
        <v>561</v>
      </c>
      <c r="L171" s="2" t="s">
        <v>42</v>
      </c>
      <c r="M171" s="2" t="str">
        <f>VLOOKUP(F171,Departments!$A$1:$C$6,2,0)</f>
        <v>HR</v>
      </c>
      <c r="N171" s="2" t="str">
        <f>INDEX(Departments!$B$1:$B$6, MATCH(Employees!F171, Departments!$A$1:$A$6, 0))</f>
        <v>HR</v>
      </c>
      <c r="O171" s="3" t="str">
        <f>INDEX(Departments!$B$2:$B$6,MATCH(Employees!F171,Departments!$A$2:$A$6,0))</f>
        <v>HR</v>
      </c>
      <c r="P171" s="3">
        <f>INDEX(Performance!$C$2:$C$501,MATCH(Employees!A171,Performance!$A$2:$A$501,0))</f>
        <v>1</v>
      </c>
      <c r="Q171" s="4">
        <f t="shared" si="2"/>
        <v>5832.85</v>
      </c>
    </row>
    <row r="172" spans="1:17" hidden="1" x14ac:dyDescent="0.25">
      <c r="A172" s="2" t="s">
        <v>562</v>
      </c>
      <c r="B172" s="2" t="s">
        <v>18</v>
      </c>
      <c r="C172" s="2" t="s">
        <v>96</v>
      </c>
      <c r="D172" s="2" t="s">
        <v>29</v>
      </c>
      <c r="E172" s="2">
        <v>49</v>
      </c>
      <c r="F172" s="2" t="s">
        <v>30</v>
      </c>
      <c r="G172" s="2" t="s">
        <v>31</v>
      </c>
      <c r="H172" s="2" t="s">
        <v>563</v>
      </c>
      <c r="I172" s="2">
        <v>35376</v>
      </c>
      <c r="J172" s="2" t="s">
        <v>40</v>
      </c>
      <c r="K172" s="2" t="s">
        <v>564</v>
      </c>
      <c r="L172" s="2" t="s">
        <v>42</v>
      </c>
      <c r="M172" s="2" t="str">
        <f>VLOOKUP(F172,Departments!$A$1:$C$6,2,0)</f>
        <v>IT</v>
      </c>
      <c r="N172" s="2" t="str">
        <f>INDEX(Departments!$B$1:$B$6, MATCH(Employees!F172, Departments!$A$1:$A$6, 0))</f>
        <v>IT</v>
      </c>
      <c r="O172" s="3" t="str">
        <f>INDEX(Departments!$B$2:$B$6,MATCH(Employees!F172,Departments!$A$2:$A$6,0))</f>
        <v>IT</v>
      </c>
      <c r="P172" s="3">
        <f>INDEX(Performance!$C$2:$C$501,MATCH(Employees!A172,Performance!$A$2:$A$501,0))</f>
        <v>5</v>
      </c>
      <c r="Q172" s="4">
        <f t="shared" si="2"/>
        <v>5306.4</v>
      </c>
    </row>
    <row r="173" spans="1:17" hidden="1" x14ac:dyDescent="0.25">
      <c r="A173" s="2" t="s">
        <v>565</v>
      </c>
      <c r="B173" s="2" t="s">
        <v>149</v>
      </c>
      <c r="C173" s="2" t="s">
        <v>69</v>
      </c>
      <c r="D173" s="2" t="s">
        <v>29</v>
      </c>
      <c r="E173" s="2">
        <v>44</v>
      </c>
      <c r="F173" s="2" t="s">
        <v>30</v>
      </c>
      <c r="G173" s="2" t="s">
        <v>114</v>
      </c>
      <c r="H173" s="2" t="s">
        <v>566</v>
      </c>
      <c r="I173" s="2">
        <v>37908</v>
      </c>
      <c r="J173" s="2" t="s">
        <v>71</v>
      </c>
      <c r="K173" s="2" t="s">
        <v>567</v>
      </c>
      <c r="L173" s="2" t="s">
        <v>26</v>
      </c>
      <c r="M173" s="2" t="str">
        <f>VLOOKUP(F173,Departments!$A$1:$C$6,2,0)</f>
        <v>IT</v>
      </c>
      <c r="N173" s="2" t="str">
        <f>INDEX(Departments!$B$1:$B$6, MATCH(Employees!F173, Departments!$A$1:$A$6, 0))</f>
        <v>IT</v>
      </c>
      <c r="O173" s="3" t="str">
        <f>INDEX(Departments!$B$2:$B$6,MATCH(Employees!F173,Departments!$A$2:$A$6,0))</f>
        <v>IT</v>
      </c>
      <c r="P173" s="3">
        <f>INDEX(Performance!$C$2:$C$501,MATCH(Employees!A173,Performance!$A$2:$A$501,0))</f>
        <v>5</v>
      </c>
      <c r="Q173" s="4">
        <f t="shared" si="2"/>
        <v>5686.2</v>
      </c>
    </row>
    <row r="174" spans="1:17" hidden="1" x14ac:dyDescent="0.25">
      <c r="A174" s="2" t="s">
        <v>568</v>
      </c>
      <c r="B174" s="2" t="s">
        <v>64</v>
      </c>
      <c r="C174" s="2" t="s">
        <v>69</v>
      </c>
      <c r="D174" s="2" t="s">
        <v>29</v>
      </c>
      <c r="E174" s="2">
        <v>59</v>
      </c>
      <c r="F174" s="2" t="s">
        <v>21</v>
      </c>
      <c r="G174" s="2" t="s">
        <v>22</v>
      </c>
      <c r="H174" s="2" t="s">
        <v>569</v>
      </c>
      <c r="I174" s="2">
        <v>106205</v>
      </c>
      <c r="J174" s="2" t="s">
        <v>40</v>
      </c>
      <c r="K174" s="2" t="s">
        <v>570</v>
      </c>
      <c r="L174" s="2" t="s">
        <v>26</v>
      </c>
      <c r="M174" s="2" t="str">
        <f>VLOOKUP(F174,Departments!$A$1:$C$6,2,0)</f>
        <v>HR</v>
      </c>
      <c r="N174" s="2" t="str">
        <f>INDEX(Departments!$B$1:$B$6, MATCH(Employees!F174, Departments!$A$1:$A$6, 0))</f>
        <v>HR</v>
      </c>
      <c r="O174" s="3" t="str">
        <f>INDEX(Departments!$B$2:$B$6,MATCH(Employees!F174,Departments!$A$2:$A$6,0))</f>
        <v>HR</v>
      </c>
      <c r="P174" s="3">
        <f>INDEX(Performance!$C$2:$C$501,MATCH(Employees!A174,Performance!$A$2:$A$501,0))</f>
        <v>3</v>
      </c>
      <c r="Q174" s="4">
        <f t="shared" si="2"/>
        <v>7434.35</v>
      </c>
    </row>
    <row r="175" spans="1:17" hidden="1" x14ac:dyDescent="0.25">
      <c r="A175" s="2" t="s">
        <v>571</v>
      </c>
      <c r="B175" s="2" t="s">
        <v>100</v>
      </c>
      <c r="C175" s="2" t="s">
        <v>136</v>
      </c>
      <c r="D175" s="2" t="s">
        <v>20</v>
      </c>
      <c r="E175" s="2">
        <v>29</v>
      </c>
      <c r="F175" s="2" t="s">
        <v>45</v>
      </c>
      <c r="G175" s="2" t="s">
        <v>114</v>
      </c>
      <c r="H175" s="2" t="s">
        <v>572</v>
      </c>
      <c r="I175" s="2">
        <v>101504</v>
      </c>
      <c r="J175" s="2" t="s">
        <v>86</v>
      </c>
      <c r="K175" s="2" t="s">
        <v>573</v>
      </c>
      <c r="L175" s="2" t="s">
        <v>26</v>
      </c>
      <c r="M175" s="2" t="str">
        <f>VLOOKUP(F175,Departments!$A$1:$C$6,2,0)</f>
        <v>Marketing</v>
      </c>
      <c r="N175" s="2" t="str">
        <f>INDEX(Departments!$B$1:$B$6, MATCH(Employees!F175, Departments!$A$1:$A$6, 0))</f>
        <v>Marketing</v>
      </c>
      <c r="O175" s="3" t="str">
        <f>INDEX(Departments!$B$2:$B$6,MATCH(Employees!F175,Departments!$A$2:$A$6,0))</f>
        <v>Marketing</v>
      </c>
      <c r="P175" s="3">
        <f>INDEX(Performance!$C$2:$C$501,MATCH(Employees!A175,Performance!$A$2:$A$501,0))</f>
        <v>1</v>
      </c>
      <c r="Q175" s="4">
        <f t="shared" si="2"/>
        <v>5075.2000000000007</v>
      </c>
    </row>
    <row r="176" spans="1:17" hidden="1" x14ac:dyDescent="0.25">
      <c r="A176" s="2" t="s">
        <v>574</v>
      </c>
      <c r="B176" s="2" t="s">
        <v>60</v>
      </c>
      <c r="C176" s="2" t="s">
        <v>69</v>
      </c>
      <c r="D176" s="2" t="s">
        <v>20</v>
      </c>
      <c r="E176" s="2">
        <v>48</v>
      </c>
      <c r="F176" s="2" t="s">
        <v>21</v>
      </c>
      <c r="G176" s="2" t="s">
        <v>114</v>
      </c>
      <c r="H176" s="2" t="s">
        <v>575</v>
      </c>
      <c r="I176" s="2">
        <v>36710</v>
      </c>
      <c r="J176" s="2" t="s">
        <v>40</v>
      </c>
      <c r="K176" s="2" t="s">
        <v>576</v>
      </c>
      <c r="L176" s="2" t="s">
        <v>26</v>
      </c>
      <c r="M176" s="2" t="str">
        <f>VLOOKUP(F176,Departments!$A$1:$C$6,2,0)</f>
        <v>HR</v>
      </c>
      <c r="N176" s="2" t="str">
        <f>INDEX(Departments!$B$1:$B$6, MATCH(Employees!F176, Departments!$A$1:$A$6, 0))</f>
        <v>HR</v>
      </c>
      <c r="O176" s="3" t="str">
        <f>INDEX(Departments!$B$2:$B$6,MATCH(Employees!F176,Departments!$A$2:$A$6,0))</f>
        <v>HR</v>
      </c>
      <c r="P176" s="3">
        <f>INDEX(Performance!$C$2:$C$501,MATCH(Employees!A176,Performance!$A$2:$A$501,0))</f>
        <v>1</v>
      </c>
      <c r="Q176" s="4">
        <f t="shared" si="2"/>
        <v>1835.5</v>
      </c>
    </row>
    <row r="177" spans="1:17" hidden="1" x14ac:dyDescent="0.25">
      <c r="A177" s="2" t="s">
        <v>577</v>
      </c>
      <c r="B177" s="2" t="s">
        <v>149</v>
      </c>
      <c r="C177" s="2" t="s">
        <v>89</v>
      </c>
      <c r="D177" s="2" t="s">
        <v>20</v>
      </c>
      <c r="E177" s="2">
        <v>58</v>
      </c>
      <c r="F177" s="2" t="s">
        <v>21</v>
      </c>
      <c r="G177" s="2" t="s">
        <v>38</v>
      </c>
      <c r="H177" s="2" t="s">
        <v>578</v>
      </c>
      <c r="I177" s="2">
        <v>78149</v>
      </c>
      <c r="J177" s="2" t="s">
        <v>24</v>
      </c>
      <c r="K177" s="2" t="s">
        <v>579</v>
      </c>
      <c r="L177" s="2" t="s">
        <v>42</v>
      </c>
      <c r="M177" s="2" t="str">
        <f>VLOOKUP(F177,Departments!$A$1:$C$6,2,0)</f>
        <v>HR</v>
      </c>
      <c r="N177" s="2" t="str">
        <f>INDEX(Departments!$B$1:$B$6, MATCH(Employees!F177, Departments!$A$1:$A$6, 0))</f>
        <v>HR</v>
      </c>
      <c r="O177" s="3" t="str">
        <f>INDEX(Departments!$B$2:$B$6,MATCH(Employees!F177,Departments!$A$2:$A$6,0))</f>
        <v>HR</v>
      </c>
      <c r="P177" s="3">
        <f>INDEX(Performance!$C$2:$C$501,MATCH(Employees!A177,Performance!$A$2:$A$501,0))</f>
        <v>5</v>
      </c>
      <c r="Q177" s="4">
        <f t="shared" si="2"/>
        <v>11722.35</v>
      </c>
    </row>
    <row r="178" spans="1:17" hidden="1" x14ac:dyDescent="0.25">
      <c r="A178" s="2" t="s">
        <v>580</v>
      </c>
      <c r="B178" s="2" t="s">
        <v>60</v>
      </c>
      <c r="C178" s="2" t="s">
        <v>96</v>
      </c>
      <c r="D178" s="2" t="s">
        <v>20</v>
      </c>
      <c r="E178" s="2">
        <v>57</v>
      </c>
      <c r="F178" s="2" t="s">
        <v>37</v>
      </c>
      <c r="G178" s="2" t="s">
        <v>38</v>
      </c>
      <c r="H178" s="2" t="s">
        <v>581</v>
      </c>
      <c r="I178" s="2">
        <v>93998</v>
      </c>
      <c r="J178" s="2" t="s">
        <v>24</v>
      </c>
      <c r="K178" s="2" t="s">
        <v>582</v>
      </c>
      <c r="L178" s="2" t="s">
        <v>42</v>
      </c>
      <c r="M178" s="2" t="str">
        <f>VLOOKUP(F178,Departments!$A$1:$C$6,2,0)</f>
        <v>Sales</v>
      </c>
      <c r="N178" s="2" t="str">
        <f>INDEX(Departments!$B$1:$B$6, MATCH(Employees!F178, Departments!$A$1:$A$6, 0))</f>
        <v>Sales</v>
      </c>
      <c r="O178" s="3" t="str">
        <f>INDEX(Departments!$B$2:$B$6,MATCH(Employees!F178,Departments!$A$2:$A$6,0))</f>
        <v>Sales</v>
      </c>
      <c r="P178" s="3">
        <f>INDEX(Performance!$C$2:$C$501,MATCH(Employees!A178,Performance!$A$2:$A$501,0))</f>
        <v>4</v>
      </c>
      <c r="Q178" s="4">
        <f t="shared" si="2"/>
        <v>9399.8000000000011</v>
      </c>
    </row>
    <row r="179" spans="1:17" hidden="1" x14ac:dyDescent="0.25">
      <c r="A179" s="2" t="s">
        <v>583</v>
      </c>
      <c r="B179" s="2" t="s">
        <v>64</v>
      </c>
      <c r="C179" s="2" t="s">
        <v>84</v>
      </c>
      <c r="D179" s="2" t="s">
        <v>29</v>
      </c>
      <c r="E179" s="2">
        <v>50</v>
      </c>
      <c r="F179" s="2" t="s">
        <v>21</v>
      </c>
      <c r="G179" s="2" t="s">
        <v>46</v>
      </c>
      <c r="H179" s="2" t="s">
        <v>584</v>
      </c>
      <c r="I179" s="2">
        <v>47599</v>
      </c>
      <c r="J179" s="2" t="s">
        <v>86</v>
      </c>
      <c r="K179" s="2" t="s">
        <v>585</v>
      </c>
      <c r="L179" s="2" t="s">
        <v>26</v>
      </c>
      <c r="M179" s="2" t="str">
        <f>VLOOKUP(F179,Departments!$A$1:$C$6,2,0)</f>
        <v>HR</v>
      </c>
      <c r="N179" s="2" t="str">
        <f>INDEX(Departments!$B$1:$B$6, MATCH(Employees!F179, Departments!$A$1:$A$6, 0))</f>
        <v>HR</v>
      </c>
      <c r="O179" s="3" t="str">
        <f>INDEX(Departments!$B$2:$B$6,MATCH(Employees!F179,Departments!$A$2:$A$6,0))</f>
        <v>HR</v>
      </c>
      <c r="P179" s="3">
        <f>INDEX(Performance!$C$2:$C$501,MATCH(Employees!A179,Performance!$A$2:$A$501,0))</f>
        <v>3</v>
      </c>
      <c r="Q179" s="4">
        <f t="shared" si="2"/>
        <v>3331.9300000000003</v>
      </c>
    </row>
    <row r="180" spans="1:17" hidden="1" x14ac:dyDescent="0.25">
      <c r="A180" s="2" t="s">
        <v>586</v>
      </c>
      <c r="B180" s="2" t="s">
        <v>60</v>
      </c>
      <c r="C180" s="2" t="s">
        <v>51</v>
      </c>
      <c r="D180" s="2" t="s">
        <v>20</v>
      </c>
      <c r="E180" s="2">
        <v>32</v>
      </c>
      <c r="F180" s="2" t="s">
        <v>56</v>
      </c>
      <c r="G180" s="2" t="s">
        <v>31</v>
      </c>
      <c r="H180" s="2" t="s">
        <v>587</v>
      </c>
      <c r="I180" s="2">
        <v>82412</v>
      </c>
      <c r="J180" s="2" t="s">
        <v>71</v>
      </c>
      <c r="K180" s="2" t="s">
        <v>588</v>
      </c>
      <c r="L180" s="2" t="s">
        <v>42</v>
      </c>
      <c r="M180" s="2" t="str">
        <f>VLOOKUP(F180,Departments!$A$1:$C$6,2,0)</f>
        <v>Finance</v>
      </c>
      <c r="N180" s="2" t="str">
        <f>INDEX(Departments!$B$1:$B$6, MATCH(Employees!F180, Departments!$A$1:$A$6, 0))</f>
        <v>Finance</v>
      </c>
      <c r="O180" s="3" t="str">
        <f>INDEX(Departments!$B$2:$B$6,MATCH(Employees!F180,Departments!$A$2:$A$6,0))</f>
        <v>Finance</v>
      </c>
      <c r="P180" s="3">
        <f>INDEX(Performance!$C$2:$C$501,MATCH(Employees!A180,Performance!$A$2:$A$501,0))</f>
        <v>4</v>
      </c>
      <c r="Q180" s="4">
        <f t="shared" si="2"/>
        <v>8241.2000000000007</v>
      </c>
    </row>
    <row r="181" spans="1:17" hidden="1" x14ac:dyDescent="0.25">
      <c r="A181" s="2" t="s">
        <v>589</v>
      </c>
      <c r="B181" s="2" t="s">
        <v>36</v>
      </c>
      <c r="C181" s="2" t="s">
        <v>84</v>
      </c>
      <c r="D181" s="2" t="s">
        <v>29</v>
      </c>
      <c r="E181" s="2">
        <v>52</v>
      </c>
      <c r="F181" s="2" t="s">
        <v>37</v>
      </c>
      <c r="G181" s="2" t="s">
        <v>22</v>
      </c>
      <c r="H181" s="2" t="s">
        <v>590</v>
      </c>
      <c r="I181" s="2">
        <v>82496</v>
      </c>
      <c r="J181" s="2" t="s">
        <v>71</v>
      </c>
      <c r="K181" s="2" t="s">
        <v>591</v>
      </c>
      <c r="L181" s="2" t="s">
        <v>26</v>
      </c>
      <c r="M181" s="2" t="str">
        <f>VLOOKUP(F181,Departments!$A$1:$C$6,2,0)</f>
        <v>Sales</v>
      </c>
      <c r="N181" s="2" t="str">
        <f>INDEX(Departments!$B$1:$B$6, MATCH(Employees!F181, Departments!$A$1:$A$6, 0))</f>
        <v>Sales</v>
      </c>
      <c r="O181" s="3" t="str">
        <f>INDEX(Departments!$B$2:$B$6,MATCH(Employees!F181,Departments!$A$2:$A$6,0))</f>
        <v>Sales</v>
      </c>
      <c r="P181" s="3">
        <f>INDEX(Performance!$C$2:$C$501,MATCH(Employees!A181,Performance!$A$2:$A$501,0))</f>
        <v>2</v>
      </c>
      <c r="Q181" s="4">
        <f t="shared" si="2"/>
        <v>4124.8</v>
      </c>
    </row>
    <row r="182" spans="1:17" hidden="1" x14ac:dyDescent="0.25">
      <c r="A182" s="2" t="s">
        <v>592</v>
      </c>
      <c r="B182" s="2" t="s">
        <v>55</v>
      </c>
      <c r="C182" s="2" t="s">
        <v>136</v>
      </c>
      <c r="D182" s="2" t="s">
        <v>20</v>
      </c>
      <c r="E182" s="2">
        <v>60</v>
      </c>
      <c r="F182" s="2" t="s">
        <v>37</v>
      </c>
      <c r="G182" s="2" t="s">
        <v>31</v>
      </c>
      <c r="H182" s="2" t="s">
        <v>593</v>
      </c>
      <c r="I182" s="2">
        <v>51231</v>
      </c>
      <c r="J182" s="2" t="s">
        <v>71</v>
      </c>
      <c r="K182" s="2" t="s">
        <v>594</v>
      </c>
      <c r="L182" s="2" t="s">
        <v>42</v>
      </c>
      <c r="M182" s="2" t="str">
        <f>VLOOKUP(F182,Departments!$A$1:$C$6,2,0)</f>
        <v>Sales</v>
      </c>
      <c r="N182" s="2" t="str">
        <f>INDEX(Departments!$B$1:$B$6, MATCH(Employees!F182, Departments!$A$1:$A$6, 0))</f>
        <v>Sales</v>
      </c>
      <c r="O182" s="3" t="str">
        <f>INDEX(Departments!$B$2:$B$6,MATCH(Employees!F182,Departments!$A$2:$A$6,0))</f>
        <v>Sales</v>
      </c>
      <c r="P182" s="3">
        <f>INDEX(Performance!$C$2:$C$501,MATCH(Employees!A182,Performance!$A$2:$A$501,0))</f>
        <v>2</v>
      </c>
      <c r="Q182" s="4">
        <f t="shared" si="2"/>
        <v>2561.5500000000002</v>
      </c>
    </row>
    <row r="183" spans="1:17" hidden="1" x14ac:dyDescent="0.25">
      <c r="A183" s="2" t="s">
        <v>595</v>
      </c>
      <c r="B183" s="2" t="s">
        <v>149</v>
      </c>
      <c r="C183" s="2" t="s">
        <v>19</v>
      </c>
      <c r="D183" s="2" t="s">
        <v>20</v>
      </c>
      <c r="E183" s="2">
        <v>48</v>
      </c>
      <c r="F183" s="2" t="s">
        <v>56</v>
      </c>
      <c r="G183" s="2" t="s">
        <v>31</v>
      </c>
      <c r="H183" s="2" t="s">
        <v>596</v>
      </c>
      <c r="I183" s="2">
        <v>119053</v>
      </c>
      <c r="J183" s="2" t="s">
        <v>24</v>
      </c>
      <c r="K183" s="2" t="s">
        <v>597</v>
      </c>
      <c r="L183" s="2" t="s">
        <v>26</v>
      </c>
      <c r="M183" s="2" t="str">
        <f>VLOOKUP(F183,Departments!$A$1:$C$6,2,0)</f>
        <v>Finance</v>
      </c>
      <c r="N183" s="2" t="str">
        <f>INDEX(Departments!$B$1:$B$6, MATCH(Employees!F183, Departments!$A$1:$A$6, 0))</f>
        <v>Finance</v>
      </c>
      <c r="O183" s="3" t="str">
        <f>INDEX(Departments!$B$2:$B$6,MATCH(Employees!F183,Departments!$A$2:$A$6,0))</f>
        <v>Finance</v>
      </c>
      <c r="P183" s="3">
        <f>INDEX(Performance!$C$2:$C$501,MATCH(Employees!A183,Performance!$A$2:$A$501,0))</f>
        <v>4</v>
      </c>
      <c r="Q183" s="4">
        <f t="shared" si="2"/>
        <v>11905.300000000001</v>
      </c>
    </row>
    <row r="184" spans="1:17" x14ac:dyDescent="0.25">
      <c r="A184" s="2" t="s">
        <v>598</v>
      </c>
      <c r="B184" s="2" t="s">
        <v>77</v>
      </c>
      <c r="C184" s="2" t="s">
        <v>89</v>
      </c>
      <c r="D184" s="2" t="s">
        <v>29</v>
      </c>
      <c r="E184" s="2">
        <v>60</v>
      </c>
      <c r="F184" s="2" t="s">
        <v>37</v>
      </c>
      <c r="G184" s="2" t="s">
        <v>22</v>
      </c>
      <c r="H184" s="2" t="s">
        <v>599</v>
      </c>
      <c r="I184" s="2">
        <v>111243</v>
      </c>
      <c r="J184" s="2" t="s">
        <v>24</v>
      </c>
      <c r="K184" s="2" t="s">
        <v>600</v>
      </c>
      <c r="L184" s="2" t="s">
        <v>26</v>
      </c>
      <c r="M184" s="2" t="str">
        <f>VLOOKUP(F184,Departments!$A$1:$C$6,2,0)</f>
        <v>Sales</v>
      </c>
      <c r="N184" s="2" t="str">
        <f>INDEX(Departments!$B$1:$B$6, MATCH(Employees!F184, Departments!$A$1:$A$6, 0))</f>
        <v>Sales</v>
      </c>
      <c r="O184" s="6" t="str">
        <f>INDEX(Departments!$B$2:$B$6,MATCH(Employees!F184,Departments!$A$2:$A$6,0))</f>
        <v>Sales</v>
      </c>
      <c r="P184" s="6">
        <f>_xlfn.XLOOKUP(A184,Performance!$A$2:$A$501,Performance!$C$2:$C$501)</f>
        <v>4</v>
      </c>
      <c r="Q184" s="7">
        <f t="shared" si="2"/>
        <v>11124.300000000001</v>
      </c>
    </row>
    <row r="185" spans="1:17" hidden="1" x14ac:dyDescent="0.25">
      <c r="A185" s="2" t="s">
        <v>601</v>
      </c>
      <c r="B185" s="2" t="s">
        <v>149</v>
      </c>
      <c r="C185" s="2" t="s">
        <v>69</v>
      </c>
      <c r="D185" s="2" t="s">
        <v>20</v>
      </c>
      <c r="E185" s="2">
        <v>55</v>
      </c>
      <c r="F185" s="2" t="s">
        <v>30</v>
      </c>
      <c r="G185" s="2" t="s">
        <v>22</v>
      </c>
      <c r="H185" s="2" t="s">
        <v>602</v>
      </c>
      <c r="I185" s="2">
        <v>73063</v>
      </c>
      <c r="J185" s="2" t="s">
        <v>86</v>
      </c>
      <c r="K185" s="2" t="s">
        <v>603</v>
      </c>
      <c r="L185" s="2" t="s">
        <v>26</v>
      </c>
      <c r="M185" s="2" t="str">
        <f>VLOOKUP(F185,Departments!$A$1:$C$6,2,0)</f>
        <v>IT</v>
      </c>
      <c r="N185" s="2" t="str">
        <f>INDEX(Departments!$B$1:$B$6, MATCH(Employees!F185, Departments!$A$1:$A$6, 0))</f>
        <v>IT</v>
      </c>
      <c r="O185" s="3" t="str">
        <f>INDEX(Departments!$B$2:$B$6,MATCH(Employees!F185,Departments!$A$2:$A$6,0))</f>
        <v>IT</v>
      </c>
      <c r="P185" s="3">
        <f>INDEX(Performance!$C$2:$C$501,MATCH(Employees!A185,Performance!$A$2:$A$501,0))</f>
        <v>1</v>
      </c>
      <c r="Q185" s="4">
        <f t="shared" si="2"/>
        <v>3653.15</v>
      </c>
    </row>
    <row r="186" spans="1:17" x14ac:dyDescent="0.25">
      <c r="A186" s="2" t="s">
        <v>604</v>
      </c>
      <c r="B186" s="2" t="s">
        <v>149</v>
      </c>
      <c r="C186" s="2" t="s">
        <v>51</v>
      </c>
      <c r="D186" s="2" t="s">
        <v>29</v>
      </c>
      <c r="E186" s="2">
        <v>35</v>
      </c>
      <c r="F186" s="2" t="s">
        <v>45</v>
      </c>
      <c r="G186" s="2" t="s">
        <v>22</v>
      </c>
      <c r="H186" s="2" t="s">
        <v>433</v>
      </c>
      <c r="I186" s="2">
        <v>71247</v>
      </c>
      <c r="J186" s="2" t="s">
        <v>24</v>
      </c>
      <c r="K186" s="2" t="s">
        <v>605</v>
      </c>
      <c r="L186" s="2" t="s">
        <v>42</v>
      </c>
      <c r="M186" s="2" t="str">
        <f>VLOOKUP(F186,Departments!$A$1:$C$6,2,0)</f>
        <v>Marketing</v>
      </c>
      <c r="N186" s="2" t="str">
        <f>INDEX(Departments!$B$1:$B$6, MATCH(Employees!F186, Departments!$A$1:$A$6, 0))</f>
        <v>Marketing</v>
      </c>
      <c r="O186" s="6" t="str">
        <f>INDEX(Departments!$B$2:$B$6,MATCH(Employees!F186,Departments!$A$2:$A$6,0))</f>
        <v>Marketing</v>
      </c>
      <c r="P186" s="6">
        <f>_xlfn.XLOOKUP(A186,Performance!$A$2:$A$501,Performance!$C$2:$C$501)</f>
        <v>4</v>
      </c>
      <c r="Q186" s="7">
        <f t="shared" si="2"/>
        <v>7124.7000000000007</v>
      </c>
    </row>
    <row r="187" spans="1:17" hidden="1" x14ac:dyDescent="0.25">
      <c r="A187" s="2" t="s">
        <v>606</v>
      </c>
      <c r="B187" s="2" t="s">
        <v>44</v>
      </c>
      <c r="C187" s="2" t="s">
        <v>136</v>
      </c>
      <c r="D187" s="2" t="s">
        <v>29</v>
      </c>
      <c r="E187" s="2">
        <v>41</v>
      </c>
      <c r="F187" s="2" t="s">
        <v>37</v>
      </c>
      <c r="G187" s="2" t="s">
        <v>31</v>
      </c>
      <c r="H187" s="2" t="s">
        <v>607</v>
      </c>
      <c r="I187" s="2">
        <v>67422</v>
      </c>
      <c r="J187" s="2" t="s">
        <v>71</v>
      </c>
      <c r="K187" s="2" t="s">
        <v>608</v>
      </c>
      <c r="L187" s="2" t="s">
        <v>42</v>
      </c>
      <c r="M187" s="2" t="str">
        <f>VLOOKUP(F187,Departments!$A$1:$C$6,2,0)</f>
        <v>Sales</v>
      </c>
      <c r="N187" s="2" t="str">
        <f>INDEX(Departments!$B$1:$B$6, MATCH(Employees!F187, Departments!$A$1:$A$6, 0))</f>
        <v>Sales</v>
      </c>
      <c r="O187" s="3" t="str">
        <f>INDEX(Departments!$B$2:$B$6,MATCH(Employees!F187,Departments!$A$2:$A$6,0))</f>
        <v>Sales</v>
      </c>
      <c r="P187" s="3">
        <f>INDEX(Performance!$C$2:$C$501,MATCH(Employees!A187,Performance!$A$2:$A$501,0))</f>
        <v>2</v>
      </c>
      <c r="Q187" s="4">
        <f t="shared" si="2"/>
        <v>3371.1000000000004</v>
      </c>
    </row>
    <row r="188" spans="1:17" hidden="1" x14ac:dyDescent="0.25">
      <c r="A188" s="2" t="s">
        <v>609</v>
      </c>
      <c r="B188" s="2" t="s">
        <v>36</v>
      </c>
      <c r="C188" s="2" t="s">
        <v>69</v>
      </c>
      <c r="D188" s="2" t="s">
        <v>20</v>
      </c>
      <c r="E188" s="2">
        <v>26</v>
      </c>
      <c r="F188" s="2" t="s">
        <v>30</v>
      </c>
      <c r="G188" s="2" t="s">
        <v>38</v>
      </c>
      <c r="H188" s="2" t="s">
        <v>207</v>
      </c>
      <c r="I188" s="2">
        <v>110628</v>
      </c>
      <c r="J188" s="2" t="s">
        <v>71</v>
      </c>
      <c r="K188" s="2" t="s">
        <v>610</v>
      </c>
      <c r="L188" s="2" t="s">
        <v>42</v>
      </c>
      <c r="M188" s="2" t="str">
        <f>VLOOKUP(F188,Departments!$A$1:$C$6,2,0)</f>
        <v>IT</v>
      </c>
      <c r="N188" s="2" t="str">
        <f>INDEX(Departments!$B$1:$B$6, MATCH(Employees!F188, Departments!$A$1:$A$6, 0))</f>
        <v>IT</v>
      </c>
      <c r="O188" s="3" t="str">
        <f>INDEX(Departments!$B$2:$B$6,MATCH(Employees!F188,Departments!$A$2:$A$6,0))</f>
        <v>IT</v>
      </c>
      <c r="P188" s="3">
        <f>INDEX(Performance!$C$2:$C$501,MATCH(Employees!A188,Performance!$A$2:$A$501,0))</f>
        <v>3</v>
      </c>
      <c r="Q188" s="4">
        <f t="shared" si="2"/>
        <v>7743.9600000000009</v>
      </c>
    </row>
    <row r="189" spans="1:17" hidden="1" x14ac:dyDescent="0.25">
      <c r="A189" s="2" t="s">
        <v>611</v>
      </c>
      <c r="B189" s="2" t="s">
        <v>55</v>
      </c>
      <c r="C189" s="2" t="s">
        <v>171</v>
      </c>
      <c r="D189" s="2" t="s">
        <v>20</v>
      </c>
      <c r="E189" s="2">
        <v>48</v>
      </c>
      <c r="F189" s="2" t="s">
        <v>45</v>
      </c>
      <c r="G189" s="2" t="s">
        <v>22</v>
      </c>
      <c r="H189" s="2" t="s">
        <v>612</v>
      </c>
      <c r="I189" s="2">
        <v>96540</v>
      </c>
      <c r="J189" s="2" t="s">
        <v>40</v>
      </c>
      <c r="K189" s="2" t="s">
        <v>613</v>
      </c>
      <c r="L189" s="2" t="s">
        <v>42</v>
      </c>
      <c r="M189" s="2" t="str">
        <f>VLOOKUP(F189,Departments!$A$1:$C$6,2,0)</f>
        <v>Marketing</v>
      </c>
      <c r="N189" s="2" t="str">
        <f>INDEX(Departments!$B$1:$B$6, MATCH(Employees!F189, Departments!$A$1:$A$6, 0))</f>
        <v>Marketing</v>
      </c>
      <c r="O189" s="3" t="str">
        <f>INDEX(Departments!$B$2:$B$6,MATCH(Employees!F189,Departments!$A$2:$A$6,0))</f>
        <v>Marketing</v>
      </c>
      <c r="P189" s="3">
        <f>INDEX(Performance!$C$2:$C$501,MATCH(Employees!A189,Performance!$A$2:$A$501,0))</f>
        <v>3</v>
      </c>
      <c r="Q189" s="4">
        <f t="shared" si="2"/>
        <v>6757.8000000000011</v>
      </c>
    </row>
    <row r="190" spans="1:17" hidden="1" x14ac:dyDescent="0.25">
      <c r="A190" s="2" t="s">
        <v>614</v>
      </c>
      <c r="B190" s="2" t="s">
        <v>60</v>
      </c>
      <c r="C190" s="2" t="s">
        <v>84</v>
      </c>
      <c r="D190" s="2" t="s">
        <v>20</v>
      </c>
      <c r="E190" s="2">
        <v>49</v>
      </c>
      <c r="F190" s="2" t="s">
        <v>45</v>
      </c>
      <c r="G190" s="2" t="s">
        <v>22</v>
      </c>
      <c r="H190" s="2" t="s">
        <v>615</v>
      </c>
      <c r="I190" s="2">
        <v>76991</v>
      </c>
      <c r="J190" s="2" t="s">
        <v>66</v>
      </c>
      <c r="K190" s="2" t="s">
        <v>616</v>
      </c>
      <c r="L190" s="2" t="s">
        <v>26</v>
      </c>
      <c r="M190" s="2" t="str">
        <f>VLOOKUP(F190,Departments!$A$1:$C$6,2,0)</f>
        <v>Marketing</v>
      </c>
      <c r="N190" s="2" t="str">
        <f>INDEX(Departments!$B$1:$B$6, MATCH(Employees!F190, Departments!$A$1:$A$6, 0))</f>
        <v>Marketing</v>
      </c>
      <c r="O190" s="3" t="str">
        <f>INDEX(Departments!$B$2:$B$6,MATCH(Employees!F190,Departments!$A$2:$A$6,0))</f>
        <v>Marketing</v>
      </c>
      <c r="P190" s="3">
        <f>INDEX(Performance!$C$2:$C$501,MATCH(Employees!A190,Performance!$A$2:$A$501,0))</f>
        <v>5</v>
      </c>
      <c r="Q190" s="4">
        <f t="shared" si="2"/>
        <v>11548.65</v>
      </c>
    </row>
    <row r="191" spans="1:17" hidden="1" x14ac:dyDescent="0.25">
      <c r="A191" s="2" t="s">
        <v>617</v>
      </c>
      <c r="B191" s="2" t="s">
        <v>64</v>
      </c>
      <c r="C191" s="2" t="s">
        <v>136</v>
      </c>
      <c r="D191" s="2" t="s">
        <v>29</v>
      </c>
      <c r="E191" s="2">
        <v>26</v>
      </c>
      <c r="F191" s="2" t="s">
        <v>37</v>
      </c>
      <c r="G191" s="2" t="s">
        <v>22</v>
      </c>
      <c r="H191" s="2" t="s">
        <v>618</v>
      </c>
      <c r="I191" s="2">
        <v>92562</v>
      </c>
      <c r="J191" s="2" t="s">
        <v>40</v>
      </c>
      <c r="K191" s="2" t="s">
        <v>619</v>
      </c>
      <c r="L191" s="2" t="s">
        <v>42</v>
      </c>
      <c r="M191" s="2" t="str">
        <f>VLOOKUP(F191,Departments!$A$1:$C$6,2,0)</f>
        <v>Sales</v>
      </c>
      <c r="N191" s="2" t="str">
        <f>INDEX(Departments!$B$1:$B$6, MATCH(Employees!F191, Departments!$A$1:$A$6, 0))</f>
        <v>Sales</v>
      </c>
      <c r="O191" s="3" t="str">
        <f>INDEX(Departments!$B$2:$B$6,MATCH(Employees!F191,Departments!$A$2:$A$6,0))</f>
        <v>Sales</v>
      </c>
      <c r="P191" s="3">
        <f>INDEX(Performance!$C$2:$C$501,MATCH(Employees!A191,Performance!$A$2:$A$501,0))</f>
        <v>5</v>
      </c>
      <c r="Q191" s="4">
        <f t="shared" si="2"/>
        <v>13884.3</v>
      </c>
    </row>
    <row r="192" spans="1:17" hidden="1" x14ac:dyDescent="0.25">
      <c r="A192" s="2" t="s">
        <v>620</v>
      </c>
      <c r="B192" s="2" t="s">
        <v>149</v>
      </c>
      <c r="C192" s="2" t="s">
        <v>171</v>
      </c>
      <c r="D192" s="2" t="s">
        <v>20</v>
      </c>
      <c r="E192" s="2">
        <v>51</v>
      </c>
      <c r="F192" s="2" t="s">
        <v>37</v>
      </c>
      <c r="G192" s="2" t="s">
        <v>46</v>
      </c>
      <c r="H192" s="2" t="s">
        <v>621</v>
      </c>
      <c r="I192" s="2">
        <v>102983</v>
      </c>
      <c r="J192" s="2" t="s">
        <v>40</v>
      </c>
      <c r="K192" s="2" t="s">
        <v>622</v>
      </c>
      <c r="L192" s="2" t="s">
        <v>42</v>
      </c>
      <c r="M192" s="2" t="str">
        <f>VLOOKUP(F192,Departments!$A$1:$C$6,2,0)</f>
        <v>Sales</v>
      </c>
      <c r="N192" s="2" t="str">
        <f>INDEX(Departments!$B$1:$B$6, MATCH(Employees!F192, Departments!$A$1:$A$6, 0))</f>
        <v>Sales</v>
      </c>
      <c r="O192" s="3" t="str">
        <f>INDEX(Departments!$B$2:$B$6,MATCH(Employees!F192,Departments!$A$2:$A$6,0))</f>
        <v>Sales</v>
      </c>
      <c r="P192" s="3">
        <f>INDEX(Performance!$C$2:$C$501,MATCH(Employees!A192,Performance!$A$2:$A$501,0))</f>
        <v>2</v>
      </c>
      <c r="Q192" s="4">
        <f t="shared" si="2"/>
        <v>5149.1500000000005</v>
      </c>
    </row>
    <row r="193" spans="1:17" hidden="1" x14ac:dyDescent="0.25">
      <c r="A193" s="2" t="s">
        <v>623</v>
      </c>
      <c r="B193" s="2" t="s">
        <v>149</v>
      </c>
      <c r="C193" s="2" t="s">
        <v>101</v>
      </c>
      <c r="D193" s="2" t="s">
        <v>29</v>
      </c>
      <c r="E193" s="2">
        <v>23</v>
      </c>
      <c r="F193" s="2" t="s">
        <v>21</v>
      </c>
      <c r="G193" s="2" t="s">
        <v>38</v>
      </c>
      <c r="H193" s="2" t="s">
        <v>624</v>
      </c>
      <c r="I193" s="2">
        <v>114420</v>
      </c>
      <c r="J193" s="2" t="s">
        <v>24</v>
      </c>
      <c r="K193" s="2" t="s">
        <v>625</v>
      </c>
      <c r="L193" s="2" t="s">
        <v>26</v>
      </c>
      <c r="M193" s="2" t="str">
        <f>VLOOKUP(F193,Departments!$A$1:$C$6,2,0)</f>
        <v>HR</v>
      </c>
      <c r="N193" s="2" t="str">
        <f>INDEX(Departments!$B$1:$B$6, MATCH(Employees!F193, Departments!$A$1:$A$6, 0))</f>
        <v>HR</v>
      </c>
      <c r="O193" s="3" t="str">
        <f>INDEX(Departments!$B$2:$B$6,MATCH(Employees!F193,Departments!$A$2:$A$6,0))</f>
        <v>HR</v>
      </c>
      <c r="P193" s="3">
        <f>INDEX(Performance!$C$2:$C$501,MATCH(Employees!A193,Performance!$A$2:$A$501,0))</f>
        <v>3</v>
      </c>
      <c r="Q193" s="4">
        <f t="shared" si="2"/>
        <v>8009.4000000000005</v>
      </c>
    </row>
    <row r="194" spans="1:17" hidden="1" x14ac:dyDescent="0.25">
      <c r="A194" s="2" t="s">
        <v>626</v>
      </c>
      <c r="B194" s="2" t="s">
        <v>36</v>
      </c>
      <c r="C194" s="2" t="s">
        <v>171</v>
      </c>
      <c r="D194" s="2" t="s">
        <v>20</v>
      </c>
      <c r="E194" s="2">
        <v>58</v>
      </c>
      <c r="F194" s="2" t="s">
        <v>56</v>
      </c>
      <c r="G194" s="2" t="s">
        <v>38</v>
      </c>
      <c r="H194" s="2" t="s">
        <v>627</v>
      </c>
      <c r="I194" s="2">
        <v>108419</v>
      </c>
      <c r="J194" s="2" t="s">
        <v>66</v>
      </c>
      <c r="K194" s="2" t="s">
        <v>628</v>
      </c>
      <c r="L194" s="2" t="s">
        <v>26</v>
      </c>
      <c r="M194" s="2" t="str">
        <f>VLOOKUP(F194,Departments!$A$1:$C$6,2,0)</f>
        <v>Finance</v>
      </c>
      <c r="N194" s="2" t="str">
        <f>INDEX(Departments!$B$1:$B$6, MATCH(Employees!F194, Departments!$A$1:$A$6, 0))</f>
        <v>Finance</v>
      </c>
      <c r="O194" s="3" t="str">
        <f>INDEX(Departments!$B$2:$B$6,MATCH(Employees!F194,Departments!$A$2:$A$6,0))</f>
        <v>Finance</v>
      </c>
      <c r="P194" s="3">
        <f>INDEX(Performance!$C$2:$C$501,MATCH(Employees!A194,Performance!$A$2:$A$501,0))</f>
        <v>3</v>
      </c>
      <c r="Q194" s="4">
        <f t="shared" ref="Q194:Q257" si="3">IF(P194=5,I194*0.15,IF(P194=4,I194*0.1,IF(P194=3,I194*0.07,IF(P194&lt;3,I194*0.05,0))))</f>
        <v>7589.3300000000008</v>
      </c>
    </row>
    <row r="195" spans="1:17" hidden="1" x14ac:dyDescent="0.25">
      <c r="A195" s="2" t="s">
        <v>629</v>
      </c>
      <c r="B195" s="2" t="s">
        <v>100</v>
      </c>
      <c r="C195" s="2" t="s">
        <v>51</v>
      </c>
      <c r="D195" s="2" t="s">
        <v>29</v>
      </c>
      <c r="E195" s="2">
        <v>54</v>
      </c>
      <c r="F195" s="2" t="s">
        <v>37</v>
      </c>
      <c r="G195" s="2" t="s">
        <v>114</v>
      </c>
      <c r="H195" s="2" t="s">
        <v>630</v>
      </c>
      <c r="I195" s="2">
        <v>100498</v>
      </c>
      <c r="J195" s="2" t="s">
        <v>71</v>
      </c>
      <c r="K195" s="2" t="s">
        <v>631</v>
      </c>
      <c r="L195" s="2" t="s">
        <v>42</v>
      </c>
      <c r="M195" s="2" t="str">
        <f>VLOOKUP(F195,Departments!$A$1:$C$6,2,0)</f>
        <v>Sales</v>
      </c>
      <c r="N195" s="2" t="str">
        <f>INDEX(Departments!$B$1:$B$6, MATCH(Employees!F195, Departments!$A$1:$A$6, 0))</f>
        <v>Sales</v>
      </c>
      <c r="O195" s="3" t="str">
        <f>INDEX(Departments!$B$2:$B$6,MATCH(Employees!F195,Departments!$A$2:$A$6,0))</f>
        <v>Sales</v>
      </c>
      <c r="P195" s="3">
        <f>INDEX(Performance!$C$2:$C$501,MATCH(Employees!A195,Performance!$A$2:$A$501,0))</f>
        <v>3</v>
      </c>
      <c r="Q195" s="4">
        <f t="shared" si="3"/>
        <v>7034.8600000000006</v>
      </c>
    </row>
    <row r="196" spans="1:17" hidden="1" x14ac:dyDescent="0.25">
      <c r="A196" s="2" t="s">
        <v>632</v>
      </c>
      <c r="B196" s="2" t="s">
        <v>18</v>
      </c>
      <c r="C196" s="2" t="s">
        <v>171</v>
      </c>
      <c r="D196" s="2" t="s">
        <v>29</v>
      </c>
      <c r="E196" s="2">
        <v>48</v>
      </c>
      <c r="F196" s="2" t="s">
        <v>30</v>
      </c>
      <c r="G196" s="2" t="s">
        <v>22</v>
      </c>
      <c r="H196" s="2" t="s">
        <v>633</v>
      </c>
      <c r="I196" s="2">
        <v>62004</v>
      </c>
      <c r="J196" s="2" t="s">
        <v>71</v>
      </c>
      <c r="K196" s="2" t="s">
        <v>634</v>
      </c>
      <c r="L196" s="2" t="s">
        <v>26</v>
      </c>
      <c r="M196" s="2" t="str">
        <f>VLOOKUP(F196,Departments!$A$1:$C$6,2,0)</f>
        <v>IT</v>
      </c>
      <c r="N196" s="2" t="str">
        <f>INDEX(Departments!$B$1:$B$6, MATCH(Employees!F196, Departments!$A$1:$A$6, 0))</f>
        <v>IT</v>
      </c>
      <c r="O196" s="3" t="str">
        <f>INDEX(Departments!$B$2:$B$6,MATCH(Employees!F196,Departments!$A$2:$A$6,0))</f>
        <v>IT</v>
      </c>
      <c r="P196" s="3">
        <f>INDEX(Performance!$C$2:$C$501,MATCH(Employees!A196,Performance!$A$2:$A$501,0))</f>
        <v>2</v>
      </c>
      <c r="Q196" s="4">
        <f t="shared" si="3"/>
        <v>3100.2000000000003</v>
      </c>
    </row>
    <row r="197" spans="1:17" hidden="1" x14ac:dyDescent="0.25">
      <c r="A197" s="2" t="s">
        <v>635</v>
      </c>
      <c r="B197" s="2" t="s">
        <v>64</v>
      </c>
      <c r="C197" s="2" t="s">
        <v>89</v>
      </c>
      <c r="D197" s="2" t="s">
        <v>29</v>
      </c>
      <c r="E197" s="2">
        <v>46</v>
      </c>
      <c r="F197" s="2" t="s">
        <v>45</v>
      </c>
      <c r="G197" s="2" t="s">
        <v>31</v>
      </c>
      <c r="H197" s="2" t="s">
        <v>636</v>
      </c>
      <c r="I197" s="2">
        <v>37033</v>
      </c>
      <c r="J197" s="2" t="s">
        <v>66</v>
      </c>
      <c r="K197" s="2" t="s">
        <v>637</v>
      </c>
      <c r="L197" s="2" t="s">
        <v>42</v>
      </c>
      <c r="M197" s="2" t="str">
        <f>VLOOKUP(F197,Departments!$A$1:$C$6,2,0)</f>
        <v>Marketing</v>
      </c>
      <c r="N197" s="2" t="str">
        <f>INDEX(Departments!$B$1:$B$6, MATCH(Employees!F197, Departments!$A$1:$A$6, 0))</f>
        <v>Marketing</v>
      </c>
      <c r="O197" s="3" t="str">
        <f>INDEX(Departments!$B$2:$B$6,MATCH(Employees!F197,Departments!$A$2:$A$6,0))</f>
        <v>Marketing</v>
      </c>
      <c r="P197" s="3">
        <f>INDEX(Performance!$C$2:$C$501,MATCH(Employees!A197,Performance!$A$2:$A$501,0))</f>
        <v>3</v>
      </c>
      <c r="Q197" s="4">
        <f t="shared" si="3"/>
        <v>2592.3100000000004</v>
      </c>
    </row>
    <row r="198" spans="1:17" hidden="1" x14ac:dyDescent="0.25">
      <c r="A198" s="2" t="s">
        <v>638</v>
      </c>
      <c r="B198" s="2" t="s">
        <v>18</v>
      </c>
      <c r="C198" s="2" t="s">
        <v>69</v>
      </c>
      <c r="D198" s="2" t="s">
        <v>29</v>
      </c>
      <c r="E198" s="2">
        <v>25</v>
      </c>
      <c r="F198" s="2" t="s">
        <v>45</v>
      </c>
      <c r="G198" s="2" t="s">
        <v>114</v>
      </c>
      <c r="H198" s="2" t="s">
        <v>639</v>
      </c>
      <c r="I198" s="2">
        <v>58062</v>
      </c>
      <c r="J198" s="2" t="s">
        <v>40</v>
      </c>
      <c r="K198" s="2" t="s">
        <v>640</v>
      </c>
      <c r="L198" s="2" t="s">
        <v>26</v>
      </c>
      <c r="M198" s="2" t="str">
        <f>VLOOKUP(F198,Departments!$A$1:$C$6,2,0)</f>
        <v>Marketing</v>
      </c>
      <c r="N198" s="2" t="str">
        <f>INDEX(Departments!$B$1:$B$6, MATCH(Employees!F198, Departments!$A$1:$A$6, 0))</f>
        <v>Marketing</v>
      </c>
      <c r="O198" s="3" t="str">
        <f>INDEX(Departments!$B$2:$B$6,MATCH(Employees!F198,Departments!$A$2:$A$6,0))</f>
        <v>Marketing</v>
      </c>
      <c r="P198" s="3">
        <f>INDEX(Performance!$C$2:$C$501,MATCH(Employees!A198,Performance!$A$2:$A$501,0))</f>
        <v>2</v>
      </c>
      <c r="Q198" s="4">
        <f t="shared" si="3"/>
        <v>2903.1000000000004</v>
      </c>
    </row>
    <row r="199" spans="1:17" hidden="1" x14ac:dyDescent="0.25">
      <c r="A199" s="2" t="s">
        <v>641</v>
      </c>
      <c r="B199" s="2" t="s">
        <v>50</v>
      </c>
      <c r="C199" s="2" t="s">
        <v>136</v>
      </c>
      <c r="D199" s="2" t="s">
        <v>20</v>
      </c>
      <c r="E199" s="2">
        <v>29</v>
      </c>
      <c r="F199" s="2" t="s">
        <v>21</v>
      </c>
      <c r="G199" s="2" t="s">
        <v>46</v>
      </c>
      <c r="H199" s="2" t="s">
        <v>267</v>
      </c>
      <c r="I199" s="2">
        <v>49357</v>
      </c>
      <c r="J199" s="2" t="s">
        <v>66</v>
      </c>
      <c r="K199" s="2" t="s">
        <v>642</v>
      </c>
      <c r="L199" s="2" t="s">
        <v>26</v>
      </c>
      <c r="M199" s="2" t="str">
        <f>VLOOKUP(F199,Departments!$A$1:$C$6,2,0)</f>
        <v>HR</v>
      </c>
      <c r="N199" s="2" t="str">
        <f>INDEX(Departments!$B$1:$B$6, MATCH(Employees!F199, Departments!$A$1:$A$6, 0))</f>
        <v>HR</v>
      </c>
      <c r="O199" s="3" t="str">
        <f>INDEX(Departments!$B$2:$B$6,MATCH(Employees!F199,Departments!$A$2:$A$6,0))</f>
        <v>HR</v>
      </c>
      <c r="P199" s="3">
        <f>INDEX(Performance!$C$2:$C$501,MATCH(Employees!A199,Performance!$A$2:$A$501,0))</f>
        <v>2</v>
      </c>
      <c r="Q199" s="4">
        <f t="shared" si="3"/>
        <v>2467.8500000000004</v>
      </c>
    </row>
    <row r="200" spans="1:17" hidden="1" x14ac:dyDescent="0.25">
      <c r="A200" s="2" t="s">
        <v>643</v>
      </c>
      <c r="B200" s="2" t="s">
        <v>77</v>
      </c>
      <c r="C200" s="2" t="s">
        <v>96</v>
      </c>
      <c r="D200" s="2" t="s">
        <v>20</v>
      </c>
      <c r="E200" s="2">
        <v>54</v>
      </c>
      <c r="F200" s="2" t="s">
        <v>37</v>
      </c>
      <c r="G200" s="2" t="s">
        <v>31</v>
      </c>
      <c r="H200" s="2" t="s">
        <v>644</v>
      </c>
      <c r="I200" s="2">
        <v>59758</v>
      </c>
      <c r="J200" s="2" t="s">
        <v>40</v>
      </c>
      <c r="K200" s="2" t="s">
        <v>645</v>
      </c>
      <c r="L200" s="2" t="s">
        <v>42</v>
      </c>
      <c r="M200" s="2" t="str">
        <f>VLOOKUP(F200,Departments!$A$1:$C$6,2,0)</f>
        <v>Sales</v>
      </c>
      <c r="N200" s="2" t="str">
        <f>INDEX(Departments!$B$1:$B$6, MATCH(Employees!F200, Departments!$A$1:$A$6, 0))</f>
        <v>Sales</v>
      </c>
      <c r="O200" s="3" t="str">
        <f>INDEX(Departments!$B$2:$B$6,MATCH(Employees!F200,Departments!$A$2:$A$6,0))</f>
        <v>Sales</v>
      </c>
      <c r="P200" s="3">
        <f>INDEX(Performance!$C$2:$C$501,MATCH(Employees!A200,Performance!$A$2:$A$501,0))</f>
        <v>5</v>
      </c>
      <c r="Q200" s="4">
        <f t="shared" si="3"/>
        <v>8963.6999999999989</v>
      </c>
    </row>
    <row r="201" spans="1:17" hidden="1" x14ac:dyDescent="0.25">
      <c r="A201" s="2" t="s">
        <v>646</v>
      </c>
      <c r="B201" s="2" t="s">
        <v>100</v>
      </c>
      <c r="C201" s="2" t="s">
        <v>171</v>
      </c>
      <c r="D201" s="2" t="s">
        <v>29</v>
      </c>
      <c r="E201" s="2">
        <v>37</v>
      </c>
      <c r="F201" s="2" t="s">
        <v>56</v>
      </c>
      <c r="G201" s="2" t="s">
        <v>22</v>
      </c>
      <c r="H201" s="2" t="s">
        <v>647</v>
      </c>
      <c r="I201" s="2">
        <v>45788</v>
      </c>
      <c r="J201" s="2" t="s">
        <v>86</v>
      </c>
      <c r="K201" s="2" t="s">
        <v>648</v>
      </c>
      <c r="L201" s="2" t="s">
        <v>42</v>
      </c>
      <c r="M201" s="2" t="str">
        <f>VLOOKUP(F201,Departments!$A$1:$C$6,2,0)</f>
        <v>Finance</v>
      </c>
      <c r="N201" s="2" t="str">
        <f>INDEX(Departments!$B$1:$B$6, MATCH(Employees!F201, Departments!$A$1:$A$6, 0))</f>
        <v>Finance</v>
      </c>
      <c r="O201" s="3" t="str">
        <f>INDEX(Departments!$B$2:$B$6,MATCH(Employees!F201,Departments!$A$2:$A$6,0))</f>
        <v>Finance</v>
      </c>
      <c r="P201" s="3">
        <f>INDEX(Performance!$C$2:$C$501,MATCH(Employees!A201,Performance!$A$2:$A$501,0))</f>
        <v>1</v>
      </c>
      <c r="Q201" s="4">
        <f t="shared" si="3"/>
        <v>2289.4</v>
      </c>
    </row>
    <row r="202" spans="1:17" hidden="1" x14ac:dyDescent="0.25">
      <c r="A202" s="2" t="s">
        <v>649</v>
      </c>
      <c r="B202" s="2" t="s">
        <v>36</v>
      </c>
      <c r="C202" s="2" t="s">
        <v>28</v>
      </c>
      <c r="D202" s="2" t="s">
        <v>29</v>
      </c>
      <c r="E202" s="2">
        <v>28</v>
      </c>
      <c r="F202" s="2" t="s">
        <v>21</v>
      </c>
      <c r="G202" s="2" t="s">
        <v>38</v>
      </c>
      <c r="H202" s="2" t="s">
        <v>650</v>
      </c>
      <c r="I202" s="2">
        <v>38862</v>
      </c>
      <c r="J202" s="2" t="s">
        <v>71</v>
      </c>
      <c r="K202" s="2" t="s">
        <v>651</v>
      </c>
      <c r="L202" s="2" t="s">
        <v>42</v>
      </c>
      <c r="M202" s="2" t="str">
        <f>VLOOKUP(F202,Departments!$A$1:$C$6,2,0)</f>
        <v>HR</v>
      </c>
      <c r="N202" s="2" t="str">
        <f>INDEX(Departments!$B$1:$B$6, MATCH(Employees!F202, Departments!$A$1:$A$6, 0))</f>
        <v>HR</v>
      </c>
      <c r="O202" s="3" t="str">
        <f>INDEX(Departments!$B$2:$B$6,MATCH(Employees!F202,Departments!$A$2:$A$6,0))</f>
        <v>HR</v>
      </c>
      <c r="P202" s="3">
        <f>INDEX(Performance!$C$2:$C$501,MATCH(Employees!A202,Performance!$A$2:$A$501,0))</f>
        <v>3</v>
      </c>
      <c r="Q202" s="4">
        <f t="shared" si="3"/>
        <v>2720.34</v>
      </c>
    </row>
    <row r="203" spans="1:17" hidden="1" x14ac:dyDescent="0.25">
      <c r="A203" s="2" t="s">
        <v>652</v>
      </c>
      <c r="B203" s="2" t="s">
        <v>50</v>
      </c>
      <c r="C203" s="2" t="s">
        <v>171</v>
      </c>
      <c r="D203" s="2" t="s">
        <v>29</v>
      </c>
      <c r="E203" s="2">
        <v>48</v>
      </c>
      <c r="F203" s="2" t="s">
        <v>30</v>
      </c>
      <c r="G203" s="2" t="s">
        <v>46</v>
      </c>
      <c r="H203" s="2" t="s">
        <v>653</v>
      </c>
      <c r="I203" s="2">
        <v>76132</v>
      </c>
      <c r="J203" s="2" t="s">
        <v>24</v>
      </c>
      <c r="K203" s="2" t="s">
        <v>654</v>
      </c>
      <c r="L203" s="2" t="s">
        <v>42</v>
      </c>
      <c r="M203" s="2" t="str">
        <f>VLOOKUP(F203,Departments!$A$1:$C$6,2,0)</f>
        <v>IT</v>
      </c>
      <c r="N203" s="2" t="str">
        <f>INDEX(Departments!$B$1:$B$6, MATCH(Employees!F203, Departments!$A$1:$A$6, 0))</f>
        <v>IT</v>
      </c>
      <c r="O203" s="3" t="str">
        <f>INDEX(Departments!$B$2:$B$6,MATCH(Employees!F203,Departments!$A$2:$A$6,0))</f>
        <v>IT</v>
      </c>
      <c r="P203" s="3">
        <f>INDEX(Performance!$C$2:$C$501,MATCH(Employees!A203,Performance!$A$2:$A$501,0))</f>
        <v>2</v>
      </c>
      <c r="Q203" s="4">
        <f t="shared" si="3"/>
        <v>3806.6000000000004</v>
      </c>
    </row>
    <row r="204" spans="1:17" hidden="1" x14ac:dyDescent="0.25">
      <c r="A204" s="2" t="s">
        <v>655</v>
      </c>
      <c r="B204" s="2" t="s">
        <v>36</v>
      </c>
      <c r="C204" s="2" t="s">
        <v>84</v>
      </c>
      <c r="D204" s="2" t="s">
        <v>29</v>
      </c>
      <c r="E204" s="2">
        <v>49</v>
      </c>
      <c r="F204" s="2" t="s">
        <v>30</v>
      </c>
      <c r="G204" s="2" t="s">
        <v>22</v>
      </c>
      <c r="H204" s="2" t="s">
        <v>656</v>
      </c>
      <c r="I204" s="2">
        <v>56773</v>
      </c>
      <c r="J204" s="2" t="s">
        <v>86</v>
      </c>
      <c r="K204" s="2" t="s">
        <v>657</v>
      </c>
      <c r="L204" s="2" t="s">
        <v>26</v>
      </c>
      <c r="M204" s="2" t="str">
        <f>VLOOKUP(F204,Departments!$A$1:$C$6,2,0)</f>
        <v>IT</v>
      </c>
      <c r="N204" s="2" t="str">
        <f>INDEX(Departments!$B$1:$B$6, MATCH(Employees!F204, Departments!$A$1:$A$6, 0))</f>
        <v>IT</v>
      </c>
      <c r="O204" s="3" t="str">
        <f>INDEX(Departments!$B$2:$B$6,MATCH(Employees!F204,Departments!$A$2:$A$6,0))</f>
        <v>IT</v>
      </c>
      <c r="P204" s="3">
        <f>INDEX(Performance!$C$2:$C$501,MATCH(Employees!A204,Performance!$A$2:$A$501,0))</f>
        <v>2</v>
      </c>
      <c r="Q204" s="4">
        <f t="shared" si="3"/>
        <v>2838.65</v>
      </c>
    </row>
    <row r="205" spans="1:17" hidden="1" x14ac:dyDescent="0.25">
      <c r="A205" s="2" t="s">
        <v>658</v>
      </c>
      <c r="B205" s="2" t="s">
        <v>36</v>
      </c>
      <c r="C205" s="2" t="s">
        <v>28</v>
      </c>
      <c r="D205" s="2" t="s">
        <v>20</v>
      </c>
      <c r="E205" s="2">
        <v>25</v>
      </c>
      <c r="F205" s="2" t="s">
        <v>21</v>
      </c>
      <c r="G205" s="2" t="s">
        <v>46</v>
      </c>
      <c r="H205" s="2" t="s">
        <v>659</v>
      </c>
      <c r="I205" s="2">
        <v>84117</v>
      </c>
      <c r="J205" s="2" t="s">
        <v>86</v>
      </c>
      <c r="K205" s="2" t="s">
        <v>660</v>
      </c>
      <c r="L205" s="2" t="s">
        <v>42</v>
      </c>
      <c r="M205" s="2" t="str">
        <f>VLOOKUP(F205,Departments!$A$1:$C$6,2,0)</f>
        <v>HR</v>
      </c>
      <c r="N205" s="2" t="str">
        <f>INDEX(Departments!$B$1:$B$6, MATCH(Employees!F205, Departments!$A$1:$A$6, 0))</f>
        <v>HR</v>
      </c>
      <c r="O205" s="3" t="str">
        <f>INDEX(Departments!$B$2:$B$6,MATCH(Employees!F205,Departments!$A$2:$A$6,0))</f>
        <v>HR</v>
      </c>
      <c r="P205" s="3">
        <f>INDEX(Performance!$C$2:$C$501,MATCH(Employees!A205,Performance!$A$2:$A$501,0))</f>
        <v>4</v>
      </c>
      <c r="Q205" s="4">
        <f t="shared" si="3"/>
        <v>8411.7000000000007</v>
      </c>
    </row>
    <row r="206" spans="1:17" hidden="1" x14ac:dyDescent="0.25">
      <c r="A206" s="2" t="s">
        <v>661</v>
      </c>
      <c r="B206" s="2" t="s">
        <v>64</v>
      </c>
      <c r="C206" s="2" t="s">
        <v>51</v>
      </c>
      <c r="D206" s="2" t="s">
        <v>29</v>
      </c>
      <c r="E206" s="2">
        <v>41</v>
      </c>
      <c r="F206" s="2" t="s">
        <v>21</v>
      </c>
      <c r="G206" s="2" t="s">
        <v>31</v>
      </c>
      <c r="H206" s="2" t="s">
        <v>662</v>
      </c>
      <c r="I206" s="2">
        <v>111999</v>
      </c>
      <c r="J206" s="2" t="s">
        <v>86</v>
      </c>
      <c r="K206" s="2" t="s">
        <v>663</v>
      </c>
      <c r="L206" s="2" t="s">
        <v>42</v>
      </c>
      <c r="M206" s="2" t="str">
        <f>VLOOKUP(F206,Departments!$A$1:$C$6,2,0)</f>
        <v>HR</v>
      </c>
      <c r="N206" s="2" t="str">
        <f>INDEX(Departments!$B$1:$B$6, MATCH(Employees!F206, Departments!$A$1:$A$6, 0))</f>
        <v>HR</v>
      </c>
      <c r="O206" s="3" t="str">
        <f>INDEX(Departments!$B$2:$B$6,MATCH(Employees!F206,Departments!$A$2:$A$6,0))</f>
        <v>HR</v>
      </c>
      <c r="P206" s="3">
        <f>INDEX(Performance!$C$2:$C$501,MATCH(Employees!A206,Performance!$A$2:$A$501,0))</f>
        <v>4</v>
      </c>
      <c r="Q206" s="4">
        <f t="shared" si="3"/>
        <v>11199.900000000001</v>
      </c>
    </row>
    <row r="207" spans="1:17" hidden="1" x14ac:dyDescent="0.25">
      <c r="A207" s="2" t="s">
        <v>664</v>
      </c>
      <c r="B207" s="2" t="s">
        <v>18</v>
      </c>
      <c r="C207" s="2" t="s">
        <v>51</v>
      </c>
      <c r="D207" s="2" t="s">
        <v>20</v>
      </c>
      <c r="E207" s="2">
        <v>23</v>
      </c>
      <c r="F207" s="2" t="s">
        <v>21</v>
      </c>
      <c r="G207" s="2" t="s">
        <v>46</v>
      </c>
      <c r="H207" s="2" t="s">
        <v>478</v>
      </c>
      <c r="I207" s="2">
        <v>93395</v>
      </c>
      <c r="J207" s="2" t="s">
        <v>71</v>
      </c>
      <c r="K207" s="2" t="s">
        <v>665</v>
      </c>
      <c r="L207" s="2" t="s">
        <v>26</v>
      </c>
      <c r="M207" s="2" t="str">
        <f>VLOOKUP(F207,Departments!$A$1:$C$6,2,0)</f>
        <v>HR</v>
      </c>
      <c r="N207" s="2" t="str">
        <f>INDEX(Departments!$B$1:$B$6, MATCH(Employees!F207, Departments!$A$1:$A$6, 0))</f>
        <v>HR</v>
      </c>
      <c r="O207" s="3" t="str">
        <f>INDEX(Departments!$B$2:$B$6,MATCH(Employees!F207,Departments!$A$2:$A$6,0))</f>
        <v>HR</v>
      </c>
      <c r="P207" s="3">
        <f>INDEX(Performance!$C$2:$C$501,MATCH(Employees!A207,Performance!$A$2:$A$501,0))</f>
        <v>1</v>
      </c>
      <c r="Q207" s="4">
        <f t="shared" si="3"/>
        <v>4669.75</v>
      </c>
    </row>
    <row r="208" spans="1:17" hidden="1" x14ac:dyDescent="0.25">
      <c r="A208" s="2" t="s">
        <v>666</v>
      </c>
      <c r="B208" s="2" t="s">
        <v>18</v>
      </c>
      <c r="C208" s="2" t="s">
        <v>19</v>
      </c>
      <c r="D208" s="2" t="s">
        <v>20</v>
      </c>
      <c r="E208" s="2">
        <v>42</v>
      </c>
      <c r="F208" s="2" t="s">
        <v>37</v>
      </c>
      <c r="G208" s="2" t="s">
        <v>114</v>
      </c>
      <c r="H208" s="2" t="s">
        <v>667</v>
      </c>
      <c r="I208" s="2">
        <v>91944</v>
      </c>
      <c r="J208" s="2" t="s">
        <v>66</v>
      </c>
      <c r="K208" s="2" t="s">
        <v>668</v>
      </c>
      <c r="L208" s="2" t="s">
        <v>26</v>
      </c>
      <c r="M208" s="2" t="str">
        <f>VLOOKUP(F208,Departments!$A$1:$C$6,2,0)</f>
        <v>Sales</v>
      </c>
      <c r="N208" s="2" t="str">
        <f>INDEX(Departments!$B$1:$B$6, MATCH(Employees!F208, Departments!$A$1:$A$6, 0))</f>
        <v>Sales</v>
      </c>
      <c r="O208" s="3" t="str">
        <f>INDEX(Departments!$B$2:$B$6,MATCH(Employees!F208,Departments!$A$2:$A$6,0))</f>
        <v>Sales</v>
      </c>
      <c r="P208" s="3">
        <f>INDEX(Performance!$C$2:$C$501,MATCH(Employees!A208,Performance!$A$2:$A$501,0))</f>
        <v>3</v>
      </c>
      <c r="Q208" s="4">
        <f t="shared" si="3"/>
        <v>6436.0800000000008</v>
      </c>
    </row>
    <row r="209" spans="1:17" hidden="1" x14ac:dyDescent="0.25">
      <c r="A209" s="2" t="s">
        <v>669</v>
      </c>
      <c r="B209" s="2" t="s">
        <v>77</v>
      </c>
      <c r="C209" s="2" t="s">
        <v>69</v>
      </c>
      <c r="D209" s="2" t="s">
        <v>29</v>
      </c>
      <c r="E209" s="2">
        <v>33</v>
      </c>
      <c r="F209" s="2" t="s">
        <v>45</v>
      </c>
      <c r="G209" s="2" t="s">
        <v>46</v>
      </c>
      <c r="H209" s="2" t="s">
        <v>670</v>
      </c>
      <c r="I209" s="2">
        <v>115357</v>
      </c>
      <c r="J209" s="2" t="s">
        <v>24</v>
      </c>
      <c r="K209" s="2" t="s">
        <v>671</v>
      </c>
      <c r="L209" s="2" t="s">
        <v>42</v>
      </c>
      <c r="M209" s="2" t="str">
        <f>VLOOKUP(F209,Departments!$A$1:$C$6,2,0)</f>
        <v>Marketing</v>
      </c>
      <c r="N209" s="2" t="str">
        <f>INDEX(Departments!$B$1:$B$6, MATCH(Employees!F209, Departments!$A$1:$A$6, 0))</f>
        <v>Marketing</v>
      </c>
      <c r="O209" s="3" t="str">
        <f>INDEX(Departments!$B$2:$B$6,MATCH(Employees!F209,Departments!$A$2:$A$6,0))</f>
        <v>Marketing</v>
      </c>
      <c r="P209" s="3">
        <f>INDEX(Performance!$C$2:$C$501,MATCH(Employees!A209,Performance!$A$2:$A$501,0))</f>
        <v>3</v>
      </c>
      <c r="Q209" s="4">
        <f t="shared" si="3"/>
        <v>8074.9900000000007</v>
      </c>
    </row>
    <row r="210" spans="1:17" hidden="1" x14ac:dyDescent="0.25">
      <c r="A210" s="2" t="s">
        <v>672</v>
      </c>
      <c r="B210" s="2" t="s">
        <v>36</v>
      </c>
      <c r="C210" s="2" t="s">
        <v>19</v>
      </c>
      <c r="D210" s="2" t="s">
        <v>20</v>
      </c>
      <c r="E210" s="2">
        <v>40</v>
      </c>
      <c r="F210" s="2" t="s">
        <v>21</v>
      </c>
      <c r="G210" s="2" t="s">
        <v>114</v>
      </c>
      <c r="H210" s="2" t="s">
        <v>639</v>
      </c>
      <c r="I210" s="2">
        <v>103876</v>
      </c>
      <c r="J210" s="2" t="s">
        <v>86</v>
      </c>
      <c r="K210" s="2" t="s">
        <v>673</v>
      </c>
      <c r="L210" s="2" t="s">
        <v>42</v>
      </c>
      <c r="M210" s="2" t="str">
        <f>VLOOKUP(F210,Departments!$A$1:$C$6,2,0)</f>
        <v>HR</v>
      </c>
      <c r="N210" s="2" t="str">
        <f>INDEX(Departments!$B$1:$B$6, MATCH(Employees!F210, Departments!$A$1:$A$6, 0))</f>
        <v>HR</v>
      </c>
      <c r="O210" s="3" t="str">
        <f>INDEX(Departments!$B$2:$B$6,MATCH(Employees!F210,Departments!$A$2:$A$6,0))</f>
        <v>HR</v>
      </c>
      <c r="P210" s="3">
        <f>INDEX(Performance!$C$2:$C$501,MATCH(Employees!A210,Performance!$A$2:$A$501,0))</f>
        <v>2</v>
      </c>
      <c r="Q210" s="4">
        <f t="shared" si="3"/>
        <v>5193.8</v>
      </c>
    </row>
    <row r="211" spans="1:17" hidden="1" x14ac:dyDescent="0.25">
      <c r="A211" s="2" t="s">
        <v>674</v>
      </c>
      <c r="B211" s="2" t="s">
        <v>44</v>
      </c>
      <c r="C211" s="2" t="s">
        <v>171</v>
      </c>
      <c r="D211" s="2" t="s">
        <v>20</v>
      </c>
      <c r="E211" s="2">
        <v>42</v>
      </c>
      <c r="F211" s="2" t="s">
        <v>21</v>
      </c>
      <c r="G211" s="2" t="s">
        <v>114</v>
      </c>
      <c r="H211" s="2" t="s">
        <v>675</v>
      </c>
      <c r="I211" s="2">
        <v>106174</v>
      </c>
      <c r="J211" s="2" t="s">
        <v>71</v>
      </c>
      <c r="K211" s="2" t="s">
        <v>676</v>
      </c>
      <c r="L211" s="2" t="s">
        <v>26</v>
      </c>
      <c r="M211" s="2" t="str">
        <f>VLOOKUP(F211,Departments!$A$1:$C$6,2,0)</f>
        <v>HR</v>
      </c>
      <c r="N211" s="2" t="str">
        <f>INDEX(Departments!$B$1:$B$6, MATCH(Employees!F211, Departments!$A$1:$A$6, 0))</f>
        <v>HR</v>
      </c>
      <c r="O211" s="3" t="str">
        <f>INDEX(Departments!$B$2:$B$6,MATCH(Employees!F211,Departments!$A$2:$A$6,0))</f>
        <v>HR</v>
      </c>
      <c r="P211" s="3">
        <f>INDEX(Performance!$C$2:$C$501,MATCH(Employees!A211,Performance!$A$2:$A$501,0))</f>
        <v>5</v>
      </c>
      <c r="Q211" s="4">
        <f t="shared" si="3"/>
        <v>15926.099999999999</v>
      </c>
    </row>
    <row r="212" spans="1:17" hidden="1" x14ac:dyDescent="0.25">
      <c r="A212" s="2" t="s">
        <v>677</v>
      </c>
      <c r="B212" s="2" t="s">
        <v>100</v>
      </c>
      <c r="C212" s="2" t="s">
        <v>51</v>
      </c>
      <c r="D212" s="2" t="s">
        <v>20</v>
      </c>
      <c r="E212" s="2">
        <v>29</v>
      </c>
      <c r="F212" s="2" t="s">
        <v>37</v>
      </c>
      <c r="G212" s="2" t="s">
        <v>46</v>
      </c>
      <c r="H212" s="2" t="s">
        <v>678</v>
      </c>
      <c r="I212" s="2">
        <v>80612</v>
      </c>
      <c r="J212" s="2" t="s">
        <v>71</v>
      </c>
      <c r="K212" s="2" t="s">
        <v>679</v>
      </c>
      <c r="L212" s="2" t="s">
        <v>26</v>
      </c>
      <c r="M212" s="2" t="str">
        <f>VLOOKUP(F212,Departments!$A$1:$C$6,2,0)</f>
        <v>Sales</v>
      </c>
      <c r="N212" s="2" t="str">
        <f>INDEX(Departments!$B$1:$B$6, MATCH(Employees!F212, Departments!$A$1:$A$6, 0))</f>
        <v>Sales</v>
      </c>
      <c r="O212" s="3" t="str">
        <f>INDEX(Departments!$B$2:$B$6,MATCH(Employees!F212,Departments!$A$2:$A$6,0))</f>
        <v>Sales</v>
      </c>
      <c r="P212" s="3">
        <f>INDEX(Performance!$C$2:$C$501,MATCH(Employees!A212,Performance!$A$2:$A$501,0))</f>
        <v>1</v>
      </c>
      <c r="Q212" s="4">
        <f t="shared" si="3"/>
        <v>4030.6000000000004</v>
      </c>
    </row>
    <row r="213" spans="1:17" hidden="1" x14ac:dyDescent="0.25">
      <c r="A213" s="2" t="s">
        <v>680</v>
      </c>
      <c r="B213" s="2" t="s">
        <v>149</v>
      </c>
      <c r="C213" s="2" t="s">
        <v>28</v>
      </c>
      <c r="D213" s="2" t="s">
        <v>20</v>
      </c>
      <c r="E213" s="2">
        <v>55</v>
      </c>
      <c r="F213" s="2" t="s">
        <v>37</v>
      </c>
      <c r="G213" s="2" t="s">
        <v>46</v>
      </c>
      <c r="H213" s="2" t="s">
        <v>681</v>
      </c>
      <c r="I213" s="2">
        <v>103478</v>
      </c>
      <c r="J213" s="2" t="s">
        <v>71</v>
      </c>
      <c r="K213" s="2" t="s">
        <v>682</v>
      </c>
      <c r="L213" s="2" t="s">
        <v>26</v>
      </c>
      <c r="M213" s="2" t="str">
        <f>VLOOKUP(F213,Departments!$A$1:$C$6,2,0)</f>
        <v>Sales</v>
      </c>
      <c r="N213" s="2" t="str">
        <f>INDEX(Departments!$B$1:$B$6, MATCH(Employees!F213, Departments!$A$1:$A$6, 0))</f>
        <v>Sales</v>
      </c>
      <c r="O213" s="3" t="str">
        <f>INDEX(Departments!$B$2:$B$6,MATCH(Employees!F213,Departments!$A$2:$A$6,0))</f>
        <v>Sales</v>
      </c>
      <c r="P213" s="3">
        <f>INDEX(Performance!$C$2:$C$501,MATCH(Employees!A213,Performance!$A$2:$A$501,0))</f>
        <v>4</v>
      </c>
      <c r="Q213" s="4">
        <f t="shared" si="3"/>
        <v>10347.800000000001</v>
      </c>
    </row>
    <row r="214" spans="1:17" hidden="1" x14ac:dyDescent="0.25">
      <c r="A214" s="2" t="s">
        <v>683</v>
      </c>
      <c r="B214" s="2" t="s">
        <v>36</v>
      </c>
      <c r="C214" s="2" t="s">
        <v>84</v>
      </c>
      <c r="D214" s="2" t="s">
        <v>20</v>
      </c>
      <c r="E214" s="2">
        <v>59</v>
      </c>
      <c r="F214" s="2" t="s">
        <v>21</v>
      </c>
      <c r="G214" s="2" t="s">
        <v>38</v>
      </c>
      <c r="H214" s="2" t="s">
        <v>684</v>
      </c>
      <c r="I214" s="2">
        <v>38205</v>
      </c>
      <c r="J214" s="2" t="s">
        <v>86</v>
      </c>
      <c r="K214" s="2" t="s">
        <v>685</v>
      </c>
      <c r="L214" s="2" t="s">
        <v>42</v>
      </c>
      <c r="M214" s="2" t="str">
        <f>VLOOKUP(F214,Departments!$A$1:$C$6,2,0)</f>
        <v>HR</v>
      </c>
      <c r="N214" s="2" t="str">
        <f>INDEX(Departments!$B$1:$B$6, MATCH(Employees!F214, Departments!$A$1:$A$6, 0))</f>
        <v>HR</v>
      </c>
      <c r="O214" s="3" t="str">
        <f>INDEX(Departments!$B$2:$B$6,MATCH(Employees!F214,Departments!$A$2:$A$6,0))</f>
        <v>HR</v>
      </c>
      <c r="P214" s="3">
        <f>INDEX(Performance!$C$2:$C$501,MATCH(Employees!A214,Performance!$A$2:$A$501,0))</f>
        <v>3</v>
      </c>
      <c r="Q214" s="4">
        <f t="shared" si="3"/>
        <v>2674.3500000000004</v>
      </c>
    </row>
    <row r="215" spans="1:17" hidden="1" x14ac:dyDescent="0.25">
      <c r="A215" s="2" t="s">
        <v>686</v>
      </c>
      <c r="B215" s="2" t="s">
        <v>55</v>
      </c>
      <c r="C215" s="2" t="s">
        <v>136</v>
      </c>
      <c r="D215" s="2" t="s">
        <v>20</v>
      </c>
      <c r="E215" s="2">
        <v>46</v>
      </c>
      <c r="F215" s="2" t="s">
        <v>30</v>
      </c>
      <c r="G215" s="2" t="s">
        <v>114</v>
      </c>
      <c r="H215" s="2" t="s">
        <v>687</v>
      </c>
      <c r="I215" s="2">
        <v>53141</v>
      </c>
      <c r="J215" s="2" t="s">
        <v>40</v>
      </c>
      <c r="K215" s="2" t="s">
        <v>688</v>
      </c>
      <c r="L215" s="2" t="s">
        <v>42</v>
      </c>
      <c r="M215" s="2" t="str">
        <f>VLOOKUP(F215,Departments!$A$1:$C$6,2,0)</f>
        <v>IT</v>
      </c>
      <c r="N215" s="2" t="str">
        <f>INDEX(Departments!$B$1:$B$6, MATCH(Employees!F215, Departments!$A$1:$A$6, 0))</f>
        <v>IT</v>
      </c>
      <c r="O215" s="3" t="str">
        <f>INDEX(Departments!$B$2:$B$6,MATCH(Employees!F215,Departments!$A$2:$A$6,0))</f>
        <v>IT</v>
      </c>
      <c r="P215" s="3">
        <f>INDEX(Performance!$C$2:$C$501,MATCH(Employees!A215,Performance!$A$2:$A$501,0))</f>
        <v>3</v>
      </c>
      <c r="Q215" s="4">
        <f t="shared" si="3"/>
        <v>3719.8700000000003</v>
      </c>
    </row>
    <row r="216" spans="1:17" hidden="1" x14ac:dyDescent="0.25">
      <c r="A216" s="2" t="s">
        <v>689</v>
      </c>
      <c r="B216" s="2" t="s">
        <v>44</v>
      </c>
      <c r="C216" s="2" t="s">
        <v>69</v>
      </c>
      <c r="D216" s="2" t="s">
        <v>29</v>
      </c>
      <c r="E216" s="2">
        <v>27</v>
      </c>
      <c r="F216" s="2" t="s">
        <v>30</v>
      </c>
      <c r="G216" s="2" t="s">
        <v>114</v>
      </c>
      <c r="H216" s="2" t="s">
        <v>690</v>
      </c>
      <c r="I216" s="2">
        <v>70180</v>
      </c>
      <c r="J216" s="2" t="s">
        <v>40</v>
      </c>
      <c r="K216" s="2" t="s">
        <v>691</v>
      </c>
      <c r="L216" s="2" t="s">
        <v>26</v>
      </c>
      <c r="M216" s="2" t="str">
        <f>VLOOKUP(F216,Departments!$A$1:$C$6,2,0)</f>
        <v>IT</v>
      </c>
      <c r="N216" s="2" t="str">
        <f>INDEX(Departments!$B$1:$B$6, MATCH(Employees!F216, Departments!$A$1:$A$6, 0))</f>
        <v>IT</v>
      </c>
      <c r="O216" s="3" t="str">
        <f>INDEX(Departments!$B$2:$B$6,MATCH(Employees!F216,Departments!$A$2:$A$6,0))</f>
        <v>IT</v>
      </c>
      <c r="P216" s="3">
        <f>INDEX(Performance!$C$2:$C$501,MATCH(Employees!A216,Performance!$A$2:$A$501,0))</f>
        <v>5</v>
      </c>
      <c r="Q216" s="4">
        <f t="shared" si="3"/>
        <v>10527</v>
      </c>
    </row>
    <row r="217" spans="1:17" hidden="1" x14ac:dyDescent="0.25">
      <c r="A217" s="2" t="s">
        <v>692</v>
      </c>
      <c r="B217" s="2" t="s">
        <v>44</v>
      </c>
      <c r="C217" s="2" t="s">
        <v>51</v>
      </c>
      <c r="D217" s="2" t="s">
        <v>20</v>
      </c>
      <c r="E217" s="2">
        <v>29</v>
      </c>
      <c r="F217" s="2" t="s">
        <v>56</v>
      </c>
      <c r="G217" s="2" t="s">
        <v>31</v>
      </c>
      <c r="H217" s="2" t="s">
        <v>693</v>
      </c>
      <c r="I217" s="2">
        <v>48946</v>
      </c>
      <c r="J217" s="2" t="s">
        <v>66</v>
      </c>
      <c r="K217" s="2" t="s">
        <v>694</v>
      </c>
      <c r="L217" s="2" t="s">
        <v>42</v>
      </c>
      <c r="M217" s="2" t="str">
        <f>VLOOKUP(F217,Departments!$A$1:$C$6,2,0)</f>
        <v>Finance</v>
      </c>
      <c r="N217" s="2" t="str">
        <f>INDEX(Departments!$B$1:$B$6, MATCH(Employees!F217, Departments!$A$1:$A$6, 0))</f>
        <v>Finance</v>
      </c>
      <c r="O217" s="3" t="str">
        <f>INDEX(Departments!$B$2:$B$6,MATCH(Employees!F217,Departments!$A$2:$A$6,0))</f>
        <v>Finance</v>
      </c>
      <c r="P217" s="3">
        <f>INDEX(Performance!$C$2:$C$501,MATCH(Employees!A217,Performance!$A$2:$A$501,0))</f>
        <v>3</v>
      </c>
      <c r="Q217" s="4">
        <f t="shared" si="3"/>
        <v>3426.2200000000003</v>
      </c>
    </row>
    <row r="218" spans="1:17" hidden="1" x14ac:dyDescent="0.25">
      <c r="A218" s="2" t="s">
        <v>695</v>
      </c>
      <c r="B218" s="2" t="s">
        <v>100</v>
      </c>
      <c r="C218" s="2" t="s">
        <v>84</v>
      </c>
      <c r="D218" s="2" t="s">
        <v>29</v>
      </c>
      <c r="E218" s="2">
        <v>38</v>
      </c>
      <c r="F218" s="2" t="s">
        <v>37</v>
      </c>
      <c r="G218" s="2" t="s">
        <v>38</v>
      </c>
      <c r="H218" s="2" t="s">
        <v>184</v>
      </c>
      <c r="I218" s="2">
        <v>107342</v>
      </c>
      <c r="J218" s="2" t="s">
        <v>86</v>
      </c>
      <c r="K218" s="2" t="s">
        <v>696</v>
      </c>
      <c r="L218" s="2" t="s">
        <v>26</v>
      </c>
      <c r="M218" s="2" t="str">
        <f>VLOOKUP(F218,Departments!$A$1:$C$6,2,0)</f>
        <v>Sales</v>
      </c>
      <c r="N218" s="2" t="str">
        <f>INDEX(Departments!$B$1:$B$6, MATCH(Employees!F218, Departments!$A$1:$A$6, 0))</f>
        <v>Sales</v>
      </c>
      <c r="O218" s="3" t="str">
        <f>INDEX(Departments!$B$2:$B$6,MATCH(Employees!F218,Departments!$A$2:$A$6,0))</f>
        <v>Sales</v>
      </c>
      <c r="P218" s="3">
        <f>INDEX(Performance!$C$2:$C$501,MATCH(Employees!A218,Performance!$A$2:$A$501,0))</f>
        <v>1</v>
      </c>
      <c r="Q218" s="4">
        <f t="shared" si="3"/>
        <v>5367.1</v>
      </c>
    </row>
    <row r="219" spans="1:17" hidden="1" x14ac:dyDescent="0.25">
      <c r="A219" s="2" t="s">
        <v>697</v>
      </c>
      <c r="B219" s="2" t="s">
        <v>36</v>
      </c>
      <c r="C219" s="2" t="s">
        <v>136</v>
      </c>
      <c r="D219" s="2" t="s">
        <v>29</v>
      </c>
      <c r="E219" s="2">
        <v>58</v>
      </c>
      <c r="F219" s="2" t="s">
        <v>37</v>
      </c>
      <c r="G219" s="2" t="s">
        <v>114</v>
      </c>
      <c r="H219" s="2" t="s">
        <v>698</v>
      </c>
      <c r="I219" s="2">
        <v>45973</v>
      </c>
      <c r="J219" s="2" t="s">
        <v>71</v>
      </c>
      <c r="K219" s="2" t="s">
        <v>699</v>
      </c>
      <c r="L219" s="2" t="s">
        <v>42</v>
      </c>
      <c r="M219" s="2" t="str">
        <f>VLOOKUP(F219,Departments!$A$1:$C$6,2,0)</f>
        <v>Sales</v>
      </c>
      <c r="N219" s="2" t="str">
        <f>INDEX(Departments!$B$1:$B$6, MATCH(Employees!F219, Departments!$A$1:$A$6, 0))</f>
        <v>Sales</v>
      </c>
      <c r="O219" s="3" t="str">
        <f>INDEX(Departments!$B$2:$B$6,MATCH(Employees!F219,Departments!$A$2:$A$6,0))</f>
        <v>Sales</v>
      </c>
      <c r="P219" s="3">
        <f>INDEX(Performance!$C$2:$C$501,MATCH(Employees!A219,Performance!$A$2:$A$501,0))</f>
        <v>3</v>
      </c>
      <c r="Q219" s="4">
        <f t="shared" si="3"/>
        <v>3218.11</v>
      </c>
    </row>
    <row r="220" spans="1:17" hidden="1" x14ac:dyDescent="0.25">
      <c r="A220" s="2" t="s">
        <v>700</v>
      </c>
      <c r="B220" s="2" t="s">
        <v>44</v>
      </c>
      <c r="C220" s="2" t="s">
        <v>89</v>
      </c>
      <c r="D220" s="2" t="s">
        <v>20</v>
      </c>
      <c r="E220" s="2">
        <v>26</v>
      </c>
      <c r="F220" s="2" t="s">
        <v>45</v>
      </c>
      <c r="G220" s="2" t="s">
        <v>31</v>
      </c>
      <c r="H220" s="2" t="s">
        <v>701</v>
      </c>
      <c r="I220" s="2">
        <v>49800</v>
      </c>
      <c r="J220" s="2" t="s">
        <v>66</v>
      </c>
      <c r="K220" s="2" t="s">
        <v>702</v>
      </c>
      <c r="L220" s="2" t="s">
        <v>42</v>
      </c>
      <c r="M220" s="2" t="str">
        <f>VLOOKUP(F220,Departments!$A$1:$C$6,2,0)</f>
        <v>Marketing</v>
      </c>
      <c r="N220" s="2" t="str">
        <f>INDEX(Departments!$B$1:$B$6, MATCH(Employees!F220, Departments!$A$1:$A$6, 0))</f>
        <v>Marketing</v>
      </c>
      <c r="O220" s="3" t="str">
        <f>INDEX(Departments!$B$2:$B$6,MATCH(Employees!F220,Departments!$A$2:$A$6,0))</f>
        <v>Marketing</v>
      </c>
      <c r="P220" s="3">
        <f>INDEX(Performance!$C$2:$C$501,MATCH(Employees!A220,Performance!$A$2:$A$501,0))</f>
        <v>5</v>
      </c>
      <c r="Q220" s="4">
        <f t="shared" si="3"/>
        <v>7470</v>
      </c>
    </row>
    <row r="221" spans="1:17" hidden="1" x14ac:dyDescent="0.25">
      <c r="A221" s="2" t="s">
        <v>703</v>
      </c>
      <c r="B221" s="2" t="s">
        <v>149</v>
      </c>
      <c r="C221" s="2" t="s">
        <v>28</v>
      </c>
      <c r="D221" s="2" t="s">
        <v>29</v>
      </c>
      <c r="E221" s="2">
        <v>25</v>
      </c>
      <c r="F221" s="2" t="s">
        <v>56</v>
      </c>
      <c r="G221" s="2" t="s">
        <v>38</v>
      </c>
      <c r="H221" s="2" t="s">
        <v>430</v>
      </c>
      <c r="I221" s="2">
        <v>39237</v>
      </c>
      <c r="J221" s="2" t="s">
        <v>40</v>
      </c>
      <c r="K221" s="2" t="s">
        <v>704</v>
      </c>
      <c r="L221" s="2" t="s">
        <v>42</v>
      </c>
      <c r="M221" s="2" t="str">
        <f>VLOOKUP(F221,Departments!$A$1:$C$6,2,0)</f>
        <v>Finance</v>
      </c>
      <c r="N221" s="2" t="str">
        <f>INDEX(Departments!$B$1:$B$6, MATCH(Employees!F221, Departments!$A$1:$A$6, 0))</f>
        <v>Finance</v>
      </c>
      <c r="O221" s="3" t="str">
        <f>INDEX(Departments!$B$2:$B$6,MATCH(Employees!F221,Departments!$A$2:$A$6,0))</f>
        <v>Finance</v>
      </c>
      <c r="P221" s="3">
        <f>INDEX(Performance!$C$2:$C$501,MATCH(Employees!A221,Performance!$A$2:$A$501,0))</f>
        <v>2</v>
      </c>
      <c r="Q221" s="4">
        <f t="shared" si="3"/>
        <v>1961.8500000000001</v>
      </c>
    </row>
    <row r="222" spans="1:17" hidden="1" x14ac:dyDescent="0.25">
      <c r="A222" s="2" t="s">
        <v>705</v>
      </c>
      <c r="B222" s="2" t="s">
        <v>18</v>
      </c>
      <c r="C222" s="2" t="s">
        <v>96</v>
      </c>
      <c r="D222" s="2" t="s">
        <v>20</v>
      </c>
      <c r="E222" s="2">
        <v>54</v>
      </c>
      <c r="F222" s="2" t="s">
        <v>45</v>
      </c>
      <c r="G222" s="2" t="s">
        <v>38</v>
      </c>
      <c r="H222" s="2" t="s">
        <v>624</v>
      </c>
      <c r="I222" s="2">
        <v>69777</v>
      </c>
      <c r="J222" s="2" t="s">
        <v>24</v>
      </c>
      <c r="K222" s="2" t="s">
        <v>706</v>
      </c>
      <c r="L222" s="2" t="s">
        <v>26</v>
      </c>
      <c r="M222" s="2" t="str">
        <f>VLOOKUP(F222,Departments!$A$1:$C$6,2,0)</f>
        <v>Marketing</v>
      </c>
      <c r="N222" s="2" t="str">
        <f>INDEX(Departments!$B$1:$B$6, MATCH(Employees!F222, Departments!$A$1:$A$6, 0))</f>
        <v>Marketing</v>
      </c>
      <c r="O222" s="3" t="str">
        <f>INDEX(Departments!$B$2:$B$6,MATCH(Employees!F222,Departments!$A$2:$A$6,0))</f>
        <v>Marketing</v>
      </c>
      <c r="P222" s="3">
        <f>INDEX(Performance!$C$2:$C$501,MATCH(Employees!A222,Performance!$A$2:$A$501,0))</f>
        <v>5</v>
      </c>
      <c r="Q222" s="4">
        <f t="shared" si="3"/>
        <v>10466.549999999999</v>
      </c>
    </row>
    <row r="223" spans="1:17" hidden="1" x14ac:dyDescent="0.25">
      <c r="A223" s="2" t="s">
        <v>707</v>
      </c>
      <c r="B223" s="2" t="s">
        <v>18</v>
      </c>
      <c r="C223" s="2" t="s">
        <v>89</v>
      </c>
      <c r="D223" s="2" t="s">
        <v>29</v>
      </c>
      <c r="E223" s="2">
        <v>24</v>
      </c>
      <c r="F223" s="2" t="s">
        <v>56</v>
      </c>
      <c r="G223" s="2" t="s">
        <v>31</v>
      </c>
      <c r="H223" s="2" t="s">
        <v>708</v>
      </c>
      <c r="I223" s="2">
        <v>45012</v>
      </c>
      <c r="J223" s="2" t="s">
        <v>40</v>
      </c>
      <c r="K223" s="2" t="s">
        <v>709</v>
      </c>
      <c r="L223" s="2" t="s">
        <v>42</v>
      </c>
      <c r="M223" s="2" t="str">
        <f>VLOOKUP(F223,Departments!$A$1:$C$6,2,0)</f>
        <v>Finance</v>
      </c>
      <c r="N223" s="2" t="str">
        <f>INDEX(Departments!$B$1:$B$6, MATCH(Employees!F223, Departments!$A$1:$A$6, 0))</f>
        <v>Finance</v>
      </c>
      <c r="O223" s="3" t="str">
        <f>INDEX(Departments!$B$2:$B$6,MATCH(Employees!F223,Departments!$A$2:$A$6,0))</f>
        <v>Finance</v>
      </c>
      <c r="P223" s="3">
        <f>INDEX(Performance!$C$2:$C$501,MATCH(Employees!A223,Performance!$A$2:$A$501,0))</f>
        <v>5</v>
      </c>
      <c r="Q223" s="4">
        <f t="shared" si="3"/>
        <v>6751.8</v>
      </c>
    </row>
    <row r="224" spans="1:17" hidden="1" x14ac:dyDescent="0.25">
      <c r="A224" s="2" t="s">
        <v>710</v>
      </c>
      <c r="B224" s="2" t="s">
        <v>64</v>
      </c>
      <c r="C224" s="2" t="s">
        <v>51</v>
      </c>
      <c r="D224" s="2" t="s">
        <v>29</v>
      </c>
      <c r="E224" s="2">
        <v>56</v>
      </c>
      <c r="F224" s="2" t="s">
        <v>56</v>
      </c>
      <c r="G224" s="2" t="s">
        <v>31</v>
      </c>
      <c r="H224" s="2" t="s">
        <v>711</v>
      </c>
      <c r="I224" s="2">
        <v>99157</v>
      </c>
      <c r="J224" s="2" t="s">
        <v>66</v>
      </c>
      <c r="K224" s="2" t="s">
        <v>712</v>
      </c>
      <c r="L224" s="2" t="s">
        <v>42</v>
      </c>
      <c r="M224" s="2" t="str">
        <f>VLOOKUP(F224,Departments!$A$1:$C$6,2,0)</f>
        <v>Finance</v>
      </c>
      <c r="N224" s="2" t="str">
        <f>INDEX(Departments!$B$1:$B$6, MATCH(Employees!F224, Departments!$A$1:$A$6, 0))</f>
        <v>Finance</v>
      </c>
      <c r="O224" s="3" t="str">
        <f>INDEX(Departments!$B$2:$B$6,MATCH(Employees!F224,Departments!$A$2:$A$6,0))</f>
        <v>Finance</v>
      </c>
      <c r="P224" s="3">
        <f>INDEX(Performance!$C$2:$C$501,MATCH(Employees!A224,Performance!$A$2:$A$501,0))</f>
        <v>5</v>
      </c>
      <c r="Q224" s="4">
        <f t="shared" si="3"/>
        <v>14873.55</v>
      </c>
    </row>
    <row r="225" spans="1:17" hidden="1" x14ac:dyDescent="0.25">
      <c r="A225" s="2" t="s">
        <v>713</v>
      </c>
      <c r="B225" s="2" t="s">
        <v>64</v>
      </c>
      <c r="C225" s="2" t="s">
        <v>171</v>
      </c>
      <c r="D225" s="2" t="s">
        <v>29</v>
      </c>
      <c r="E225" s="2">
        <v>42</v>
      </c>
      <c r="F225" s="2" t="s">
        <v>45</v>
      </c>
      <c r="G225" s="2" t="s">
        <v>46</v>
      </c>
      <c r="H225" s="2" t="s">
        <v>714</v>
      </c>
      <c r="I225" s="2">
        <v>81470</v>
      </c>
      <c r="J225" s="2" t="s">
        <v>40</v>
      </c>
      <c r="K225" s="2" t="s">
        <v>715</v>
      </c>
      <c r="L225" s="2" t="s">
        <v>26</v>
      </c>
      <c r="M225" s="2" t="str">
        <f>VLOOKUP(F225,Departments!$A$1:$C$6,2,0)</f>
        <v>Marketing</v>
      </c>
      <c r="N225" s="2" t="str">
        <f>INDEX(Departments!$B$1:$B$6, MATCH(Employees!F225, Departments!$A$1:$A$6, 0))</f>
        <v>Marketing</v>
      </c>
      <c r="O225" s="3" t="str">
        <f>INDEX(Departments!$B$2:$B$6,MATCH(Employees!F225,Departments!$A$2:$A$6,0))</f>
        <v>Marketing</v>
      </c>
      <c r="P225" s="3">
        <f>INDEX(Performance!$C$2:$C$501,MATCH(Employees!A225,Performance!$A$2:$A$501,0))</f>
        <v>1</v>
      </c>
      <c r="Q225" s="4">
        <f t="shared" si="3"/>
        <v>4073.5</v>
      </c>
    </row>
    <row r="226" spans="1:17" hidden="1" x14ac:dyDescent="0.25">
      <c r="A226" s="2" t="s">
        <v>716</v>
      </c>
      <c r="B226" s="2" t="s">
        <v>44</v>
      </c>
      <c r="C226" s="2" t="s">
        <v>89</v>
      </c>
      <c r="D226" s="2" t="s">
        <v>29</v>
      </c>
      <c r="E226" s="2">
        <v>23</v>
      </c>
      <c r="F226" s="2" t="s">
        <v>37</v>
      </c>
      <c r="G226" s="2" t="s">
        <v>46</v>
      </c>
      <c r="H226" s="2" t="s">
        <v>717</v>
      </c>
      <c r="I226" s="2">
        <v>98738</v>
      </c>
      <c r="J226" s="2" t="s">
        <v>71</v>
      </c>
      <c r="K226" s="2" t="s">
        <v>718</v>
      </c>
      <c r="L226" s="2" t="s">
        <v>42</v>
      </c>
      <c r="M226" s="2" t="str">
        <f>VLOOKUP(F226,Departments!$A$1:$C$6,2,0)</f>
        <v>Sales</v>
      </c>
      <c r="N226" s="2" t="str">
        <f>INDEX(Departments!$B$1:$B$6, MATCH(Employees!F226, Departments!$A$1:$A$6, 0))</f>
        <v>Sales</v>
      </c>
      <c r="O226" s="3" t="str">
        <f>INDEX(Departments!$B$2:$B$6,MATCH(Employees!F226,Departments!$A$2:$A$6,0))</f>
        <v>Sales</v>
      </c>
      <c r="P226" s="3">
        <f>INDEX(Performance!$C$2:$C$501,MATCH(Employees!A226,Performance!$A$2:$A$501,0))</f>
        <v>5</v>
      </c>
      <c r="Q226" s="4">
        <f t="shared" si="3"/>
        <v>14810.699999999999</v>
      </c>
    </row>
    <row r="227" spans="1:17" hidden="1" x14ac:dyDescent="0.25">
      <c r="A227" s="2" t="s">
        <v>719</v>
      </c>
      <c r="B227" s="2" t="s">
        <v>36</v>
      </c>
      <c r="C227" s="2" t="s">
        <v>51</v>
      </c>
      <c r="D227" s="2" t="s">
        <v>20</v>
      </c>
      <c r="E227" s="2">
        <v>45</v>
      </c>
      <c r="F227" s="2" t="s">
        <v>30</v>
      </c>
      <c r="G227" s="2" t="s">
        <v>38</v>
      </c>
      <c r="H227" s="2" t="s">
        <v>720</v>
      </c>
      <c r="I227" s="2">
        <v>69768</v>
      </c>
      <c r="J227" s="2" t="s">
        <v>24</v>
      </c>
      <c r="K227" s="2" t="s">
        <v>721</v>
      </c>
      <c r="L227" s="2" t="s">
        <v>42</v>
      </c>
      <c r="M227" s="2" t="str">
        <f>VLOOKUP(F227,Departments!$A$1:$C$6,2,0)</f>
        <v>IT</v>
      </c>
      <c r="N227" s="2" t="str">
        <f>INDEX(Departments!$B$1:$B$6, MATCH(Employees!F227, Departments!$A$1:$A$6, 0))</f>
        <v>IT</v>
      </c>
      <c r="O227" s="3" t="str">
        <f>INDEX(Departments!$B$2:$B$6,MATCH(Employees!F227,Departments!$A$2:$A$6,0))</f>
        <v>IT</v>
      </c>
      <c r="P227" s="3">
        <f>INDEX(Performance!$C$2:$C$501,MATCH(Employees!A227,Performance!$A$2:$A$501,0))</f>
        <v>2</v>
      </c>
      <c r="Q227" s="4">
        <f t="shared" si="3"/>
        <v>3488.4</v>
      </c>
    </row>
    <row r="228" spans="1:17" hidden="1" x14ac:dyDescent="0.25">
      <c r="A228" s="2" t="s">
        <v>722</v>
      </c>
      <c r="B228" s="2" t="s">
        <v>100</v>
      </c>
      <c r="C228" s="2" t="s">
        <v>84</v>
      </c>
      <c r="D228" s="2" t="s">
        <v>29</v>
      </c>
      <c r="E228" s="2">
        <v>47</v>
      </c>
      <c r="F228" s="2" t="s">
        <v>45</v>
      </c>
      <c r="G228" s="2" t="s">
        <v>38</v>
      </c>
      <c r="H228" s="2" t="s">
        <v>723</v>
      </c>
      <c r="I228" s="2">
        <v>78816</v>
      </c>
      <c r="J228" s="2" t="s">
        <v>40</v>
      </c>
      <c r="K228" s="2" t="s">
        <v>724</v>
      </c>
      <c r="L228" s="2" t="s">
        <v>42</v>
      </c>
      <c r="M228" s="2" t="str">
        <f>VLOOKUP(F228,Departments!$A$1:$C$6,2,0)</f>
        <v>Marketing</v>
      </c>
      <c r="N228" s="2" t="str">
        <f>INDEX(Departments!$B$1:$B$6, MATCH(Employees!F228, Departments!$A$1:$A$6, 0))</f>
        <v>Marketing</v>
      </c>
      <c r="O228" s="3" t="str">
        <f>INDEX(Departments!$B$2:$B$6,MATCH(Employees!F228,Departments!$A$2:$A$6,0))</f>
        <v>Marketing</v>
      </c>
      <c r="P228" s="3">
        <f>INDEX(Performance!$C$2:$C$501,MATCH(Employees!A228,Performance!$A$2:$A$501,0))</f>
        <v>4</v>
      </c>
      <c r="Q228" s="4">
        <f t="shared" si="3"/>
        <v>7881.6</v>
      </c>
    </row>
    <row r="229" spans="1:17" hidden="1" x14ac:dyDescent="0.25">
      <c r="A229" s="2" t="s">
        <v>725</v>
      </c>
      <c r="B229" s="2" t="s">
        <v>149</v>
      </c>
      <c r="C229" s="2" t="s">
        <v>171</v>
      </c>
      <c r="D229" s="2" t="s">
        <v>29</v>
      </c>
      <c r="E229" s="2">
        <v>30</v>
      </c>
      <c r="F229" s="2" t="s">
        <v>37</v>
      </c>
      <c r="G229" s="2" t="s">
        <v>114</v>
      </c>
      <c r="H229" s="2" t="s">
        <v>726</v>
      </c>
      <c r="I229" s="2">
        <v>39186</v>
      </c>
      <c r="J229" s="2" t="s">
        <v>24</v>
      </c>
      <c r="K229" s="2" t="s">
        <v>727</v>
      </c>
      <c r="L229" s="2" t="s">
        <v>26</v>
      </c>
      <c r="M229" s="2" t="str">
        <f>VLOOKUP(F229,Departments!$A$1:$C$6,2,0)</f>
        <v>Sales</v>
      </c>
      <c r="N229" s="2" t="str">
        <f>INDEX(Departments!$B$1:$B$6, MATCH(Employees!F229, Departments!$A$1:$A$6, 0))</f>
        <v>Sales</v>
      </c>
      <c r="O229" s="3" t="str">
        <f>INDEX(Departments!$B$2:$B$6,MATCH(Employees!F229,Departments!$A$2:$A$6,0))</f>
        <v>Sales</v>
      </c>
      <c r="P229" s="3">
        <f>INDEX(Performance!$C$2:$C$501,MATCH(Employees!A229,Performance!$A$2:$A$501,0))</f>
        <v>5</v>
      </c>
      <c r="Q229" s="4">
        <f t="shared" si="3"/>
        <v>5877.9</v>
      </c>
    </row>
    <row r="230" spans="1:17" hidden="1" x14ac:dyDescent="0.25">
      <c r="A230" s="2" t="s">
        <v>728</v>
      </c>
      <c r="B230" s="2" t="s">
        <v>50</v>
      </c>
      <c r="C230" s="2" t="s">
        <v>171</v>
      </c>
      <c r="D230" s="2" t="s">
        <v>20</v>
      </c>
      <c r="E230" s="2">
        <v>57</v>
      </c>
      <c r="F230" s="2" t="s">
        <v>21</v>
      </c>
      <c r="G230" s="2" t="s">
        <v>46</v>
      </c>
      <c r="H230" s="2" t="s">
        <v>729</v>
      </c>
      <c r="I230" s="2">
        <v>90363</v>
      </c>
      <c r="J230" s="2" t="s">
        <v>66</v>
      </c>
      <c r="K230" s="2" t="s">
        <v>730</v>
      </c>
      <c r="L230" s="2" t="s">
        <v>42</v>
      </c>
      <c r="M230" s="2" t="str">
        <f>VLOOKUP(F230,Departments!$A$1:$C$6,2,0)</f>
        <v>HR</v>
      </c>
      <c r="N230" s="2" t="str">
        <f>INDEX(Departments!$B$1:$B$6, MATCH(Employees!F230, Departments!$A$1:$A$6, 0))</f>
        <v>HR</v>
      </c>
      <c r="O230" s="3" t="str">
        <f>INDEX(Departments!$B$2:$B$6,MATCH(Employees!F230,Departments!$A$2:$A$6,0))</f>
        <v>HR</v>
      </c>
      <c r="P230" s="3">
        <f>INDEX(Performance!$C$2:$C$501,MATCH(Employees!A230,Performance!$A$2:$A$501,0))</f>
        <v>4</v>
      </c>
      <c r="Q230" s="4">
        <f t="shared" si="3"/>
        <v>9036.3000000000011</v>
      </c>
    </row>
    <row r="231" spans="1:17" hidden="1" x14ac:dyDescent="0.25">
      <c r="A231" s="2" t="s">
        <v>731</v>
      </c>
      <c r="B231" s="2" t="s">
        <v>44</v>
      </c>
      <c r="C231" s="2" t="s">
        <v>84</v>
      </c>
      <c r="D231" s="2" t="s">
        <v>20</v>
      </c>
      <c r="E231" s="2">
        <v>56</v>
      </c>
      <c r="F231" s="2" t="s">
        <v>21</v>
      </c>
      <c r="G231" s="2" t="s">
        <v>31</v>
      </c>
      <c r="H231" s="2" t="s">
        <v>732</v>
      </c>
      <c r="I231" s="2">
        <v>86374</v>
      </c>
      <c r="J231" s="2" t="s">
        <v>24</v>
      </c>
      <c r="K231" s="2" t="s">
        <v>733</v>
      </c>
      <c r="L231" s="2" t="s">
        <v>42</v>
      </c>
      <c r="M231" s="2" t="str">
        <f>VLOOKUP(F231,Departments!$A$1:$C$6,2,0)</f>
        <v>HR</v>
      </c>
      <c r="N231" s="2" t="str">
        <f>INDEX(Departments!$B$1:$B$6, MATCH(Employees!F231, Departments!$A$1:$A$6, 0))</f>
        <v>HR</v>
      </c>
      <c r="O231" s="3" t="str">
        <f>INDEX(Departments!$B$2:$B$6,MATCH(Employees!F231,Departments!$A$2:$A$6,0))</f>
        <v>HR</v>
      </c>
      <c r="P231" s="3">
        <f>INDEX(Performance!$C$2:$C$501,MATCH(Employees!A231,Performance!$A$2:$A$501,0))</f>
        <v>5</v>
      </c>
      <c r="Q231" s="4">
        <f t="shared" si="3"/>
        <v>12956.1</v>
      </c>
    </row>
    <row r="232" spans="1:17" hidden="1" x14ac:dyDescent="0.25">
      <c r="A232" s="2" t="s">
        <v>734</v>
      </c>
      <c r="B232" s="2" t="s">
        <v>100</v>
      </c>
      <c r="C232" s="2" t="s">
        <v>28</v>
      </c>
      <c r="D232" s="2" t="s">
        <v>20</v>
      </c>
      <c r="E232" s="2">
        <v>28</v>
      </c>
      <c r="F232" s="2" t="s">
        <v>30</v>
      </c>
      <c r="G232" s="2" t="s">
        <v>114</v>
      </c>
      <c r="H232" s="2" t="s">
        <v>735</v>
      </c>
      <c r="I232" s="2">
        <v>51057</v>
      </c>
      <c r="J232" s="2" t="s">
        <v>40</v>
      </c>
      <c r="K232" s="2" t="s">
        <v>736</v>
      </c>
      <c r="L232" s="2" t="s">
        <v>26</v>
      </c>
      <c r="M232" s="2" t="str">
        <f>VLOOKUP(F232,Departments!$A$1:$C$6,2,0)</f>
        <v>IT</v>
      </c>
      <c r="N232" s="2" t="str">
        <f>INDEX(Departments!$B$1:$B$6, MATCH(Employees!F232, Departments!$A$1:$A$6, 0))</f>
        <v>IT</v>
      </c>
      <c r="O232" s="3" t="str">
        <f>INDEX(Departments!$B$2:$B$6,MATCH(Employees!F232,Departments!$A$2:$A$6,0))</f>
        <v>IT</v>
      </c>
      <c r="P232" s="3">
        <f>INDEX(Performance!$C$2:$C$501,MATCH(Employees!A232,Performance!$A$2:$A$501,0))</f>
        <v>2</v>
      </c>
      <c r="Q232" s="4">
        <f t="shared" si="3"/>
        <v>2552.8500000000004</v>
      </c>
    </row>
    <row r="233" spans="1:17" hidden="1" x14ac:dyDescent="0.25">
      <c r="A233" s="2" t="s">
        <v>737</v>
      </c>
      <c r="B233" s="2" t="s">
        <v>18</v>
      </c>
      <c r="C233" s="2" t="s">
        <v>89</v>
      </c>
      <c r="D233" s="2" t="s">
        <v>20</v>
      </c>
      <c r="E233" s="2">
        <v>55</v>
      </c>
      <c r="F233" s="2" t="s">
        <v>56</v>
      </c>
      <c r="G233" s="2" t="s">
        <v>22</v>
      </c>
      <c r="H233" s="2" t="s">
        <v>738</v>
      </c>
      <c r="I233" s="2">
        <v>94146</v>
      </c>
      <c r="J233" s="2" t="s">
        <v>66</v>
      </c>
      <c r="K233" s="2" t="s">
        <v>739</v>
      </c>
      <c r="L233" s="2" t="s">
        <v>42</v>
      </c>
      <c r="M233" s="2" t="str">
        <f>VLOOKUP(F233,Departments!$A$1:$C$6,2,0)</f>
        <v>Finance</v>
      </c>
      <c r="N233" s="2" t="str">
        <f>INDEX(Departments!$B$1:$B$6, MATCH(Employees!F233, Departments!$A$1:$A$6, 0))</f>
        <v>Finance</v>
      </c>
      <c r="O233" s="3" t="str">
        <f>INDEX(Departments!$B$2:$B$6,MATCH(Employees!F233,Departments!$A$2:$A$6,0))</f>
        <v>Finance</v>
      </c>
      <c r="P233" s="3">
        <f>INDEX(Performance!$C$2:$C$501,MATCH(Employees!A233,Performance!$A$2:$A$501,0))</f>
        <v>2</v>
      </c>
      <c r="Q233" s="4">
        <f t="shared" si="3"/>
        <v>4707.3</v>
      </c>
    </row>
    <row r="234" spans="1:17" hidden="1" x14ac:dyDescent="0.25">
      <c r="A234" s="2" t="s">
        <v>740</v>
      </c>
      <c r="B234" s="2" t="s">
        <v>44</v>
      </c>
      <c r="C234" s="2" t="s">
        <v>19</v>
      </c>
      <c r="D234" s="2" t="s">
        <v>29</v>
      </c>
      <c r="E234" s="2">
        <v>33</v>
      </c>
      <c r="F234" s="2" t="s">
        <v>56</v>
      </c>
      <c r="G234" s="2" t="s">
        <v>114</v>
      </c>
      <c r="H234" s="2" t="s">
        <v>741</v>
      </c>
      <c r="I234" s="2">
        <v>102836</v>
      </c>
      <c r="J234" s="2" t="s">
        <v>66</v>
      </c>
      <c r="K234" s="2" t="s">
        <v>742</v>
      </c>
      <c r="L234" s="2" t="s">
        <v>26</v>
      </c>
      <c r="M234" s="2" t="str">
        <f>VLOOKUP(F234,Departments!$A$1:$C$6,2,0)</f>
        <v>Finance</v>
      </c>
      <c r="N234" s="2" t="str">
        <f>INDEX(Departments!$B$1:$B$6, MATCH(Employees!F234, Departments!$A$1:$A$6, 0))</f>
        <v>Finance</v>
      </c>
      <c r="O234" s="3" t="str">
        <f>INDEX(Departments!$B$2:$B$6,MATCH(Employees!F234,Departments!$A$2:$A$6,0))</f>
        <v>Finance</v>
      </c>
      <c r="P234" s="3">
        <f>INDEX(Performance!$C$2:$C$501,MATCH(Employees!A234,Performance!$A$2:$A$501,0))</f>
        <v>2</v>
      </c>
      <c r="Q234" s="4">
        <f t="shared" si="3"/>
        <v>5141.8</v>
      </c>
    </row>
    <row r="235" spans="1:17" hidden="1" x14ac:dyDescent="0.25">
      <c r="A235" s="2" t="s">
        <v>743</v>
      </c>
      <c r="B235" s="2" t="s">
        <v>100</v>
      </c>
      <c r="C235" s="2" t="s">
        <v>28</v>
      </c>
      <c r="D235" s="2" t="s">
        <v>29</v>
      </c>
      <c r="E235" s="2">
        <v>28</v>
      </c>
      <c r="F235" s="2" t="s">
        <v>56</v>
      </c>
      <c r="G235" s="2" t="s">
        <v>31</v>
      </c>
      <c r="H235" s="2" t="s">
        <v>744</v>
      </c>
      <c r="I235" s="2">
        <v>56052</v>
      </c>
      <c r="J235" s="2" t="s">
        <v>71</v>
      </c>
      <c r="K235" s="2" t="s">
        <v>745</v>
      </c>
      <c r="L235" s="2" t="s">
        <v>42</v>
      </c>
      <c r="M235" s="2" t="str">
        <f>VLOOKUP(F235,Departments!$A$1:$C$6,2,0)</f>
        <v>Finance</v>
      </c>
      <c r="N235" s="2" t="str">
        <f>INDEX(Departments!$B$1:$B$6, MATCH(Employees!F235, Departments!$A$1:$A$6, 0))</f>
        <v>Finance</v>
      </c>
      <c r="O235" s="3" t="str">
        <f>INDEX(Departments!$B$2:$B$6,MATCH(Employees!F235,Departments!$A$2:$A$6,0))</f>
        <v>Finance</v>
      </c>
      <c r="P235" s="3">
        <f>INDEX(Performance!$C$2:$C$501,MATCH(Employees!A235,Performance!$A$2:$A$501,0))</f>
        <v>4</v>
      </c>
      <c r="Q235" s="4">
        <f t="shared" si="3"/>
        <v>5605.2000000000007</v>
      </c>
    </row>
    <row r="236" spans="1:17" hidden="1" x14ac:dyDescent="0.25">
      <c r="A236" s="2" t="s">
        <v>746</v>
      </c>
      <c r="B236" s="2" t="s">
        <v>50</v>
      </c>
      <c r="C236" s="2" t="s">
        <v>51</v>
      </c>
      <c r="D236" s="2" t="s">
        <v>20</v>
      </c>
      <c r="E236" s="2">
        <v>56</v>
      </c>
      <c r="F236" s="2" t="s">
        <v>30</v>
      </c>
      <c r="G236" s="2" t="s">
        <v>114</v>
      </c>
      <c r="H236" s="2" t="s">
        <v>747</v>
      </c>
      <c r="I236" s="2">
        <v>106491</v>
      </c>
      <c r="J236" s="2" t="s">
        <v>24</v>
      </c>
      <c r="K236" s="2" t="s">
        <v>748</v>
      </c>
      <c r="L236" s="2" t="s">
        <v>42</v>
      </c>
      <c r="M236" s="2" t="str">
        <f>VLOOKUP(F236,Departments!$A$1:$C$6,2,0)</f>
        <v>IT</v>
      </c>
      <c r="N236" s="2" t="str">
        <f>INDEX(Departments!$B$1:$B$6, MATCH(Employees!F236, Departments!$A$1:$A$6, 0))</f>
        <v>IT</v>
      </c>
      <c r="O236" s="3" t="str">
        <f>INDEX(Departments!$B$2:$B$6,MATCH(Employees!F236,Departments!$A$2:$A$6,0))</f>
        <v>IT</v>
      </c>
      <c r="P236" s="3">
        <f>INDEX(Performance!$C$2:$C$501,MATCH(Employees!A236,Performance!$A$2:$A$501,0))</f>
        <v>5</v>
      </c>
      <c r="Q236" s="4">
        <f t="shared" si="3"/>
        <v>15973.65</v>
      </c>
    </row>
    <row r="237" spans="1:17" hidden="1" x14ac:dyDescent="0.25">
      <c r="A237" s="2" t="s">
        <v>749</v>
      </c>
      <c r="B237" s="2" t="s">
        <v>64</v>
      </c>
      <c r="C237" s="2" t="s">
        <v>171</v>
      </c>
      <c r="D237" s="2" t="s">
        <v>29</v>
      </c>
      <c r="E237" s="2">
        <v>48</v>
      </c>
      <c r="F237" s="2" t="s">
        <v>37</v>
      </c>
      <c r="G237" s="2" t="s">
        <v>114</v>
      </c>
      <c r="H237" s="2" t="s">
        <v>750</v>
      </c>
      <c r="I237" s="2">
        <v>36633</v>
      </c>
      <c r="J237" s="2" t="s">
        <v>66</v>
      </c>
      <c r="K237" s="2" t="s">
        <v>751</v>
      </c>
      <c r="L237" s="2" t="s">
        <v>42</v>
      </c>
      <c r="M237" s="2" t="str">
        <f>VLOOKUP(F237,Departments!$A$1:$C$6,2,0)</f>
        <v>Sales</v>
      </c>
      <c r="N237" s="2" t="str">
        <f>INDEX(Departments!$B$1:$B$6, MATCH(Employees!F237, Departments!$A$1:$A$6, 0))</f>
        <v>Sales</v>
      </c>
      <c r="O237" s="3" t="str">
        <f>INDEX(Departments!$B$2:$B$6,MATCH(Employees!F237,Departments!$A$2:$A$6,0))</f>
        <v>Sales</v>
      </c>
      <c r="P237" s="3">
        <f>INDEX(Performance!$C$2:$C$501,MATCH(Employees!A237,Performance!$A$2:$A$501,0))</f>
        <v>4</v>
      </c>
      <c r="Q237" s="4">
        <f t="shared" si="3"/>
        <v>3663.3</v>
      </c>
    </row>
    <row r="238" spans="1:17" hidden="1" x14ac:dyDescent="0.25">
      <c r="A238" s="2" t="s">
        <v>752</v>
      </c>
      <c r="B238" s="2" t="s">
        <v>36</v>
      </c>
      <c r="C238" s="2" t="s">
        <v>51</v>
      </c>
      <c r="D238" s="2" t="s">
        <v>20</v>
      </c>
      <c r="E238" s="2">
        <v>50</v>
      </c>
      <c r="F238" s="2" t="s">
        <v>30</v>
      </c>
      <c r="G238" s="2" t="s">
        <v>31</v>
      </c>
      <c r="H238" s="2" t="s">
        <v>753</v>
      </c>
      <c r="I238" s="2">
        <v>109744</v>
      </c>
      <c r="J238" s="2" t="s">
        <v>24</v>
      </c>
      <c r="K238" s="2" t="s">
        <v>754</v>
      </c>
      <c r="L238" s="2" t="s">
        <v>42</v>
      </c>
      <c r="M238" s="2" t="str">
        <f>VLOOKUP(F238,Departments!$A$1:$C$6,2,0)</f>
        <v>IT</v>
      </c>
      <c r="N238" s="2" t="str">
        <f>INDEX(Departments!$B$1:$B$6, MATCH(Employees!F238, Departments!$A$1:$A$6, 0))</f>
        <v>IT</v>
      </c>
      <c r="O238" s="3" t="str">
        <f>INDEX(Departments!$B$2:$B$6,MATCH(Employees!F238,Departments!$A$2:$A$6,0))</f>
        <v>IT</v>
      </c>
      <c r="P238" s="3">
        <f>INDEX(Performance!$C$2:$C$501,MATCH(Employees!A238,Performance!$A$2:$A$501,0))</f>
        <v>4</v>
      </c>
      <c r="Q238" s="4">
        <f t="shared" si="3"/>
        <v>10974.400000000001</v>
      </c>
    </row>
    <row r="239" spans="1:17" hidden="1" x14ac:dyDescent="0.25">
      <c r="A239" s="2" t="s">
        <v>755</v>
      </c>
      <c r="B239" s="2" t="s">
        <v>18</v>
      </c>
      <c r="C239" s="2" t="s">
        <v>171</v>
      </c>
      <c r="D239" s="2" t="s">
        <v>20</v>
      </c>
      <c r="E239" s="2">
        <v>57</v>
      </c>
      <c r="F239" s="2" t="s">
        <v>37</v>
      </c>
      <c r="G239" s="2" t="s">
        <v>46</v>
      </c>
      <c r="H239" s="2" t="s">
        <v>756</v>
      </c>
      <c r="I239" s="2">
        <v>44217</v>
      </c>
      <c r="J239" s="2" t="s">
        <v>24</v>
      </c>
      <c r="K239" s="2" t="s">
        <v>757</v>
      </c>
      <c r="L239" s="2" t="s">
        <v>42</v>
      </c>
      <c r="M239" s="2" t="str">
        <f>VLOOKUP(F239,Departments!$A$1:$C$6,2,0)</f>
        <v>Sales</v>
      </c>
      <c r="N239" s="2" t="str">
        <f>INDEX(Departments!$B$1:$B$6, MATCH(Employees!F239, Departments!$A$1:$A$6, 0))</f>
        <v>Sales</v>
      </c>
      <c r="O239" s="3" t="str">
        <f>INDEX(Departments!$B$2:$B$6,MATCH(Employees!F239,Departments!$A$2:$A$6,0))</f>
        <v>Sales</v>
      </c>
      <c r="P239" s="3">
        <f>INDEX(Performance!$C$2:$C$501,MATCH(Employees!A239,Performance!$A$2:$A$501,0))</f>
        <v>4</v>
      </c>
      <c r="Q239" s="4">
        <f t="shared" si="3"/>
        <v>4421.7</v>
      </c>
    </row>
    <row r="240" spans="1:17" hidden="1" x14ac:dyDescent="0.25">
      <c r="A240" s="2" t="s">
        <v>758</v>
      </c>
      <c r="B240" s="2" t="s">
        <v>149</v>
      </c>
      <c r="C240" s="2" t="s">
        <v>96</v>
      </c>
      <c r="D240" s="2" t="s">
        <v>29</v>
      </c>
      <c r="E240" s="2">
        <v>28</v>
      </c>
      <c r="F240" s="2" t="s">
        <v>56</v>
      </c>
      <c r="G240" s="2" t="s">
        <v>22</v>
      </c>
      <c r="H240" s="2" t="s">
        <v>759</v>
      </c>
      <c r="I240" s="2">
        <v>40758</v>
      </c>
      <c r="J240" s="2" t="s">
        <v>86</v>
      </c>
      <c r="K240" s="2" t="s">
        <v>760</v>
      </c>
      <c r="L240" s="2" t="s">
        <v>26</v>
      </c>
      <c r="M240" s="2" t="str">
        <f>VLOOKUP(F240,Departments!$A$1:$C$6,2,0)</f>
        <v>Finance</v>
      </c>
      <c r="N240" s="2" t="str">
        <f>INDEX(Departments!$B$1:$B$6, MATCH(Employees!F240, Departments!$A$1:$A$6, 0))</f>
        <v>Finance</v>
      </c>
      <c r="O240" s="3" t="str">
        <f>INDEX(Departments!$B$2:$B$6,MATCH(Employees!F240,Departments!$A$2:$A$6,0))</f>
        <v>Finance</v>
      </c>
      <c r="P240" s="3">
        <f>INDEX(Performance!$C$2:$C$501,MATCH(Employees!A240,Performance!$A$2:$A$501,0))</f>
        <v>2</v>
      </c>
      <c r="Q240" s="4">
        <f t="shared" si="3"/>
        <v>2037.9</v>
      </c>
    </row>
    <row r="241" spans="1:17" hidden="1" x14ac:dyDescent="0.25">
      <c r="A241" s="2" t="s">
        <v>761</v>
      </c>
      <c r="B241" s="2" t="s">
        <v>36</v>
      </c>
      <c r="C241" s="2" t="s">
        <v>101</v>
      </c>
      <c r="D241" s="2" t="s">
        <v>20</v>
      </c>
      <c r="E241" s="2">
        <v>59</v>
      </c>
      <c r="F241" s="2" t="s">
        <v>56</v>
      </c>
      <c r="G241" s="2" t="s">
        <v>46</v>
      </c>
      <c r="H241" s="2" t="s">
        <v>762</v>
      </c>
      <c r="I241" s="2">
        <v>49878</v>
      </c>
      <c r="J241" s="2" t="s">
        <v>71</v>
      </c>
      <c r="K241" s="2" t="s">
        <v>763</v>
      </c>
      <c r="L241" s="2" t="s">
        <v>26</v>
      </c>
      <c r="M241" s="2" t="str">
        <f>VLOOKUP(F241,Departments!$A$1:$C$6,2,0)</f>
        <v>Finance</v>
      </c>
      <c r="N241" s="2" t="str">
        <f>INDEX(Departments!$B$1:$B$6, MATCH(Employees!F241, Departments!$A$1:$A$6, 0))</f>
        <v>Finance</v>
      </c>
      <c r="O241" s="3" t="str">
        <f>INDEX(Departments!$B$2:$B$6,MATCH(Employees!F241,Departments!$A$2:$A$6,0))</f>
        <v>Finance</v>
      </c>
      <c r="P241" s="3">
        <f>INDEX(Performance!$C$2:$C$501,MATCH(Employees!A241,Performance!$A$2:$A$501,0))</f>
        <v>2</v>
      </c>
      <c r="Q241" s="4">
        <f t="shared" si="3"/>
        <v>2493.9</v>
      </c>
    </row>
    <row r="242" spans="1:17" hidden="1" x14ac:dyDescent="0.25">
      <c r="A242" s="2" t="s">
        <v>764</v>
      </c>
      <c r="B242" s="2" t="s">
        <v>60</v>
      </c>
      <c r="C242" s="2" t="s">
        <v>136</v>
      </c>
      <c r="D242" s="2" t="s">
        <v>20</v>
      </c>
      <c r="E242" s="2">
        <v>48</v>
      </c>
      <c r="F242" s="2" t="s">
        <v>37</v>
      </c>
      <c r="G242" s="2" t="s">
        <v>114</v>
      </c>
      <c r="H242" s="2" t="s">
        <v>765</v>
      </c>
      <c r="I242" s="2">
        <v>95831</v>
      </c>
      <c r="J242" s="2" t="s">
        <v>66</v>
      </c>
      <c r="K242" s="2" t="s">
        <v>766</v>
      </c>
      <c r="L242" s="2" t="s">
        <v>42</v>
      </c>
      <c r="M242" s="2" t="str">
        <f>VLOOKUP(F242,Departments!$A$1:$C$6,2,0)</f>
        <v>Sales</v>
      </c>
      <c r="N242" s="2" t="str">
        <f>INDEX(Departments!$B$1:$B$6, MATCH(Employees!F242, Departments!$A$1:$A$6, 0))</f>
        <v>Sales</v>
      </c>
      <c r="O242" s="3" t="str">
        <f>INDEX(Departments!$B$2:$B$6,MATCH(Employees!F242,Departments!$A$2:$A$6,0))</f>
        <v>Sales</v>
      </c>
      <c r="P242" s="3">
        <f>INDEX(Performance!$C$2:$C$501,MATCH(Employees!A242,Performance!$A$2:$A$501,0))</f>
        <v>2</v>
      </c>
      <c r="Q242" s="4">
        <f t="shared" si="3"/>
        <v>4791.55</v>
      </c>
    </row>
    <row r="243" spans="1:17" hidden="1" x14ac:dyDescent="0.25">
      <c r="A243" s="2" t="s">
        <v>767</v>
      </c>
      <c r="B243" s="2" t="s">
        <v>100</v>
      </c>
      <c r="C243" s="2" t="s">
        <v>19</v>
      </c>
      <c r="D243" s="2" t="s">
        <v>20</v>
      </c>
      <c r="E243" s="2">
        <v>22</v>
      </c>
      <c r="F243" s="2" t="s">
        <v>30</v>
      </c>
      <c r="G243" s="2" t="s">
        <v>31</v>
      </c>
      <c r="H243" s="2" t="s">
        <v>768</v>
      </c>
      <c r="I243" s="2">
        <v>106015</v>
      </c>
      <c r="J243" s="2" t="s">
        <v>24</v>
      </c>
      <c r="K243" s="2" t="s">
        <v>769</v>
      </c>
      <c r="L243" s="2" t="s">
        <v>26</v>
      </c>
      <c r="M243" s="2" t="str">
        <f>VLOOKUP(F243,Departments!$A$1:$C$6,2,0)</f>
        <v>IT</v>
      </c>
      <c r="N243" s="2" t="str">
        <f>INDEX(Departments!$B$1:$B$6, MATCH(Employees!F243, Departments!$A$1:$A$6, 0))</f>
        <v>IT</v>
      </c>
      <c r="O243" s="3" t="str">
        <f>INDEX(Departments!$B$2:$B$6,MATCH(Employees!F243,Departments!$A$2:$A$6,0))</f>
        <v>IT</v>
      </c>
      <c r="P243" s="3">
        <f>INDEX(Performance!$C$2:$C$501,MATCH(Employees!A243,Performance!$A$2:$A$501,0))</f>
        <v>2</v>
      </c>
      <c r="Q243" s="4">
        <f t="shared" si="3"/>
        <v>5300.75</v>
      </c>
    </row>
    <row r="244" spans="1:17" hidden="1" x14ac:dyDescent="0.25">
      <c r="A244" s="2" t="s">
        <v>770</v>
      </c>
      <c r="B244" s="2" t="s">
        <v>44</v>
      </c>
      <c r="C244" s="2" t="s">
        <v>51</v>
      </c>
      <c r="D244" s="2" t="s">
        <v>20</v>
      </c>
      <c r="E244" s="2">
        <v>28</v>
      </c>
      <c r="F244" s="2" t="s">
        <v>21</v>
      </c>
      <c r="G244" s="2" t="s">
        <v>22</v>
      </c>
      <c r="H244" s="2" t="s">
        <v>771</v>
      </c>
      <c r="I244" s="2">
        <v>100388</v>
      </c>
      <c r="J244" s="2" t="s">
        <v>86</v>
      </c>
      <c r="K244" s="2" t="s">
        <v>772</v>
      </c>
      <c r="L244" s="2" t="s">
        <v>26</v>
      </c>
      <c r="M244" s="2" t="str">
        <f>VLOOKUP(F244,Departments!$A$1:$C$6,2,0)</f>
        <v>HR</v>
      </c>
      <c r="N244" s="2" t="str">
        <f>INDEX(Departments!$B$1:$B$6, MATCH(Employees!F244, Departments!$A$1:$A$6, 0))</f>
        <v>HR</v>
      </c>
      <c r="O244" s="3" t="str">
        <f>INDEX(Departments!$B$2:$B$6,MATCH(Employees!F244,Departments!$A$2:$A$6,0))</f>
        <v>HR</v>
      </c>
      <c r="P244" s="3">
        <f>INDEX(Performance!$C$2:$C$501,MATCH(Employees!A244,Performance!$A$2:$A$501,0))</f>
        <v>1</v>
      </c>
      <c r="Q244" s="4">
        <f t="shared" si="3"/>
        <v>5019.4000000000005</v>
      </c>
    </row>
    <row r="245" spans="1:17" hidden="1" x14ac:dyDescent="0.25">
      <c r="A245" s="2" t="s">
        <v>773</v>
      </c>
      <c r="B245" s="2" t="s">
        <v>36</v>
      </c>
      <c r="C245" s="2" t="s">
        <v>96</v>
      </c>
      <c r="D245" s="2" t="s">
        <v>29</v>
      </c>
      <c r="E245" s="2">
        <v>47</v>
      </c>
      <c r="F245" s="2" t="s">
        <v>45</v>
      </c>
      <c r="G245" s="2" t="s">
        <v>31</v>
      </c>
      <c r="H245" s="2" t="s">
        <v>172</v>
      </c>
      <c r="I245" s="2">
        <v>60932</v>
      </c>
      <c r="J245" s="2" t="s">
        <v>86</v>
      </c>
      <c r="K245" s="2" t="s">
        <v>774</v>
      </c>
      <c r="L245" s="2" t="s">
        <v>42</v>
      </c>
      <c r="M245" s="2" t="str">
        <f>VLOOKUP(F245,Departments!$A$1:$C$6,2,0)</f>
        <v>Marketing</v>
      </c>
      <c r="N245" s="2" t="str">
        <f>INDEX(Departments!$B$1:$B$6, MATCH(Employees!F245, Departments!$A$1:$A$6, 0))</f>
        <v>Marketing</v>
      </c>
      <c r="O245" s="3" t="str">
        <f>INDEX(Departments!$B$2:$B$6,MATCH(Employees!F245,Departments!$A$2:$A$6,0))</f>
        <v>Marketing</v>
      </c>
      <c r="P245" s="3">
        <f>INDEX(Performance!$C$2:$C$501,MATCH(Employees!A245,Performance!$A$2:$A$501,0))</f>
        <v>4</v>
      </c>
      <c r="Q245" s="4">
        <f t="shared" si="3"/>
        <v>6093.2000000000007</v>
      </c>
    </row>
    <row r="246" spans="1:17" hidden="1" x14ac:dyDescent="0.25">
      <c r="A246" s="2" t="s">
        <v>775</v>
      </c>
      <c r="B246" s="2" t="s">
        <v>55</v>
      </c>
      <c r="C246" s="2" t="s">
        <v>89</v>
      </c>
      <c r="D246" s="2" t="s">
        <v>20</v>
      </c>
      <c r="E246" s="2">
        <v>36</v>
      </c>
      <c r="F246" s="2" t="s">
        <v>45</v>
      </c>
      <c r="G246" s="2" t="s">
        <v>38</v>
      </c>
      <c r="H246" s="2" t="s">
        <v>442</v>
      </c>
      <c r="I246" s="2">
        <v>107818</v>
      </c>
      <c r="J246" s="2" t="s">
        <v>40</v>
      </c>
      <c r="K246" s="2" t="s">
        <v>776</v>
      </c>
      <c r="L246" s="2" t="s">
        <v>26</v>
      </c>
      <c r="M246" s="2" t="str">
        <f>VLOOKUP(F246,Departments!$A$1:$C$6,2,0)</f>
        <v>Marketing</v>
      </c>
      <c r="N246" s="2" t="str">
        <f>INDEX(Departments!$B$1:$B$6, MATCH(Employees!F246, Departments!$A$1:$A$6, 0))</f>
        <v>Marketing</v>
      </c>
      <c r="O246" s="3" t="str">
        <f>INDEX(Departments!$B$2:$B$6,MATCH(Employees!F246,Departments!$A$2:$A$6,0))</f>
        <v>Marketing</v>
      </c>
      <c r="P246" s="3">
        <f>INDEX(Performance!$C$2:$C$501,MATCH(Employees!A246,Performance!$A$2:$A$501,0))</f>
        <v>1</v>
      </c>
      <c r="Q246" s="4">
        <f t="shared" si="3"/>
        <v>5390.9000000000005</v>
      </c>
    </row>
    <row r="247" spans="1:17" hidden="1" x14ac:dyDescent="0.25">
      <c r="A247" s="2" t="s">
        <v>777</v>
      </c>
      <c r="B247" s="2" t="s">
        <v>18</v>
      </c>
      <c r="C247" s="2" t="s">
        <v>51</v>
      </c>
      <c r="D247" s="2" t="s">
        <v>29</v>
      </c>
      <c r="E247" s="2">
        <v>49</v>
      </c>
      <c r="F247" s="2" t="s">
        <v>56</v>
      </c>
      <c r="G247" s="2" t="s">
        <v>38</v>
      </c>
      <c r="H247" s="2" t="s">
        <v>778</v>
      </c>
      <c r="I247" s="2">
        <v>95198</v>
      </c>
      <c r="J247" s="2" t="s">
        <v>40</v>
      </c>
      <c r="K247" s="2" t="s">
        <v>779</v>
      </c>
      <c r="L247" s="2" t="s">
        <v>26</v>
      </c>
      <c r="M247" s="2" t="str">
        <f>VLOOKUP(F247,Departments!$A$1:$C$6,2,0)</f>
        <v>Finance</v>
      </c>
      <c r="N247" s="2" t="str">
        <f>INDEX(Departments!$B$1:$B$6, MATCH(Employees!F247, Departments!$A$1:$A$6, 0))</f>
        <v>Finance</v>
      </c>
      <c r="O247" s="3" t="str">
        <f>INDEX(Departments!$B$2:$B$6,MATCH(Employees!F247,Departments!$A$2:$A$6,0))</f>
        <v>Finance</v>
      </c>
      <c r="P247" s="3">
        <f>INDEX(Performance!$C$2:$C$501,MATCH(Employees!A247,Performance!$A$2:$A$501,0))</f>
        <v>4</v>
      </c>
      <c r="Q247" s="4">
        <f t="shared" si="3"/>
        <v>9519.8000000000011</v>
      </c>
    </row>
    <row r="248" spans="1:17" hidden="1" x14ac:dyDescent="0.25">
      <c r="A248" s="2" t="s">
        <v>780</v>
      </c>
      <c r="B248" s="2" t="s">
        <v>149</v>
      </c>
      <c r="C248" s="2" t="s">
        <v>136</v>
      </c>
      <c r="D248" s="2" t="s">
        <v>20</v>
      </c>
      <c r="E248" s="2">
        <v>43</v>
      </c>
      <c r="F248" s="2" t="s">
        <v>30</v>
      </c>
      <c r="G248" s="2" t="s">
        <v>46</v>
      </c>
      <c r="H248" s="2" t="s">
        <v>781</v>
      </c>
      <c r="I248" s="2">
        <v>42635</v>
      </c>
      <c r="J248" s="2" t="s">
        <v>24</v>
      </c>
      <c r="K248" s="2" t="s">
        <v>782</v>
      </c>
      <c r="L248" s="2" t="s">
        <v>26</v>
      </c>
      <c r="M248" s="2" t="str">
        <f>VLOOKUP(F248,Departments!$A$1:$C$6,2,0)</f>
        <v>IT</v>
      </c>
      <c r="N248" s="2" t="str">
        <f>INDEX(Departments!$B$1:$B$6, MATCH(Employees!F248, Departments!$A$1:$A$6, 0))</f>
        <v>IT</v>
      </c>
      <c r="O248" s="3" t="str">
        <f>INDEX(Departments!$B$2:$B$6,MATCH(Employees!F248,Departments!$A$2:$A$6,0))</f>
        <v>IT</v>
      </c>
      <c r="P248" s="3">
        <f>INDEX(Performance!$C$2:$C$501,MATCH(Employees!A248,Performance!$A$2:$A$501,0))</f>
        <v>3</v>
      </c>
      <c r="Q248" s="4">
        <f t="shared" si="3"/>
        <v>2984.4500000000003</v>
      </c>
    </row>
    <row r="249" spans="1:17" hidden="1" x14ac:dyDescent="0.25">
      <c r="A249" s="2" t="s">
        <v>783</v>
      </c>
      <c r="B249" s="2" t="s">
        <v>50</v>
      </c>
      <c r="C249" s="2" t="s">
        <v>19</v>
      </c>
      <c r="D249" s="2" t="s">
        <v>20</v>
      </c>
      <c r="E249" s="2">
        <v>48</v>
      </c>
      <c r="F249" s="2" t="s">
        <v>21</v>
      </c>
      <c r="G249" s="2" t="s">
        <v>38</v>
      </c>
      <c r="H249" s="2" t="s">
        <v>784</v>
      </c>
      <c r="I249" s="2">
        <v>48738</v>
      </c>
      <c r="J249" s="2" t="s">
        <v>66</v>
      </c>
      <c r="K249" s="2" t="s">
        <v>785</v>
      </c>
      <c r="L249" s="2" t="s">
        <v>26</v>
      </c>
      <c r="M249" s="2" t="str">
        <f>VLOOKUP(F249,Departments!$A$1:$C$6,2,0)</f>
        <v>HR</v>
      </c>
      <c r="N249" s="2" t="str">
        <f>INDEX(Departments!$B$1:$B$6, MATCH(Employees!F249, Departments!$A$1:$A$6, 0))</f>
        <v>HR</v>
      </c>
      <c r="O249" s="3" t="str">
        <f>INDEX(Departments!$B$2:$B$6,MATCH(Employees!F249,Departments!$A$2:$A$6,0))</f>
        <v>HR</v>
      </c>
      <c r="P249" s="3">
        <f>INDEX(Performance!$C$2:$C$501,MATCH(Employees!A249,Performance!$A$2:$A$501,0))</f>
        <v>5</v>
      </c>
      <c r="Q249" s="4">
        <f t="shared" si="3"/>
        <v>7310.7</v>
      </c>
    </row>
    <row r="250" spans="1:17" hidden="1" x14ac:dyDescent="0.25">
      <c r="A250" s="2" t="s">
        <v>786</v>
      </c>
      <c r="B250" s="2" t="s">
        <v>50</v>
      </c>
      <c r="C250" s="2" t="s">
        <v>69</v>
      </c>
      <c r="D250" s="2" t="s">
        <v>20</v>
      </c>
      <c r="E250" s="2">
        <v>23</v>
      </c>
      <c r="F250" s="2" t="s">
        <v>21</v>
      </c>
      <c r="G250" s="2" t="s">
        <v>22</v>
      </c>
      <c r="H250" s="2" t="s">
        <v>371</v>
      </c>
      <c r="I250" s="2">
        <v>64435</v>
      </c>
      <c r="J250" s="2" t="s">
        <v>86</v>
      </c>
      <c r="K250" s="2" t="s">
        <v>787</v>
      </c>
      <c r="L250" s="2" t="s">
        <v>26</v>
      </c>
      <c r="M250" s="2" t="str">
        <f>VLOOKUP(F250,Departments!$A$1:$C$6,2,0)</f>
        <v>HR</v>
      </c>
      <c r="N250" s="2" t="str">
        <f>INDEX(Departments!$B$1:$B$6, MATCH(Employees!F250, Departments!$A$1:$A$6, 0))</f>
        <v>HR</v>
      </c>
      <c r="O250" s="3" t="str">
        <f>INDEX(Departments!$B$2:$B$6,MATCH(Employees!F250,Departments!$A$2:$A$6,0))</f>
        <v>HR</v>
      </c>
      <c r="P250" s="3">
        <f>INDEX(Performance!$C$2:$C$501,MATCH(Employees!A250,Performance!$A$2:$A$501,0))</f>
        <v>5</v>
      </c>
      <c r="Q250" s="4">
        <f t="shared" si="3"/>
        <v>9665.25</v>
      </c>
    </row>
    <row r="251" spans="1:17" hidden="1" x14ac:dyDescent="0.25">
      <c r="A251" s="2" t="s">
        <v>788</v>
      </c>
      <c r="B251" s="2" t="s">
        <v>77</v>
      </c>
      <c r="C251" s="2" t="s">
        <v>28</v>
      </c>
      <c r="D251" s="2" t="s">
        <v>29</v>
      </c>
      <c r="E251" s="2">
        <v>55</v>
      </c>
      <c r="F251" s="2" t="s">
        <v>21</v>
      </c>
      <c r="G251" s="2" t="s">
        <v>22</v>
      </c>
      <c r="H251" s="2" t="s">
        <v>789</v>
      </c>
      <c r="I251" s="2">
        <v>116007</v>
      </c>
      <c r="J251" s="2" t="s">
        <v>71</v>
      </c>
      <c r="K251" s="2" t="s">
        <v>790</v>
      </c>
      <c r="L251" s="2" t="s">
        <v>26</v>
      </c>
      <c r="M251" s="2" t="str">
        <f>VLOOKUP(F251,Departments!$A$1:$C$6,2,0)</f>
        <v>HR</v>
      </c>
      <c r="N251" s="2" t="str">
        <f>INDEX(Departments!$B$1:$B$6, MATCH(Employees!F251, Departments!$A$1:$A$6, 0))</f>
        <v>HR</v>
      </c>
      <c r="O251" s="3" t="str">
        <f>INDEX(Departments!$B$2:$B$6,MATCH(Employees!F251,Departments!$A$2:$A$6,0))</f>
        <v>HR</v>
      </c>
      <c r="P251" s="3">
        <f>INDEX(Performance!$C$2:$C$501,MATCH(Employees!A251,Performance!$A$2:$A$501,0))</f>
        <v>5</v>
      </c>
      <c r="Q251" s="4">
        <f t="shared" si="3"/>
        <v>17401.05</v>
      </c>
    </row>
    <row r="252" spans="1:17" hidden="1" x14ac:dyDescent="0.25">
      <c r="A252" s="2" t="s">
        <v>791</v>
      </c>
      <c r="B252" s="2" t="s">
        <v>55</v>
      </c>
      <c r="C252" s="2" t="s">
        <v>96</v>
      </c>
      <c r="D252" s="2" t="s">
        <v>29</v>
      </c>
      <c r="E252" s="2">
        <v>38</v>
      </c>
      <c r="F252" s="2" t="s">
        <v>30</v>
      </c>
      <c r="G252" s="2" t="s">
        <v>31</v>
      </c>
      <c r="H252" s="2" t="s">
        <v>792</v>
      </c>
      <c r="I252" s="2">
        <v>60256</v>
      </c>
      <c r="J252" s="2" t="s">
        <v>66</v>
      </c>
      <c r="K252" s="2" t="s">
        <v>793</v>
      </c>
      <c r="L252" s="2" t="s">
        <v>26</v>
      </c>
      <c r="M252" s="2" t="str">
        <f>VLOOKUP(F252,Departments!$A$1:$C$6,2,0)</f>
        <v>IT</v>
      </c>
      <c r="N252" s="2" t="str">
        <f>INDEX(Departments!$B$1:$B$6, MATCH(Employees!F252, Departments!$A$1:$A$6, 0))</f>
        <v>IT</v>
      </c>
      <c r="O252" s="3" t="str">
        <f>INDEX(Departments!$B$2:$B$6,MATCH(Employees!F252,Departments!$A$2:$A$6,0))</f>
        <v>IT</v>
      </c>
      <c r="P252" s="3">
        <f>INDEX(Performance!$C$2:$C$501,MATCH(Employees!A252,Performance!$A$2:$A$501,0))</f>
        <v>4</v>
      </c>
      <c r="Q252" s="4">
        <f t="shared" si="3"/>
        <v>6025.6</v>
      </c>
    </row>
    <row r="253" spans="1:17" hidden="1" x14ac:dyDescent="0.25">
      <c r="A253" s="2" t="s">
        <v>794</v>
      </c>
      <c r="B253" s="2" t="s">
        <v>60</v>
      </c>
      <c r="C253" s="2" t="s">
        <v>171</v>
      </c>
      <c r="D253" s="2" t="s">
        <v>20</v>
      </c>
      <c r="E253" s="2">
        <v>52</v>
      </c>
      <c r="F253" s="2" t="s">
        <v>37</v>
      </c>
      <c r="G253" s="2" t="s">
        <v>46</v>
      </c>
      <c r="H253" s="2" t="s">
        <v>130</v>
      </c>
      <c r="I253" s="2">
        <v>79852</v>
      </c>
      <c r="J253" s="2" t="s">
        <v>40</v>
      </c>
      <c r="K253" s="2" t="s">
        <v>795</v>
      </c>
      <c r="L253" s="2" t="s">
        <v>42</v>
      </c>
      <c r="M253" s="2" t="str">
        <f>VLOOKUP(F253,Departments!$A$1:$C$6,2,0)</f>
        <v>Sales</v>
      </c>
      <c r="N253" s="2" t="str">
        <f>INDEX(Departments!$B$1:$B$6, MATCH(Employees!F253, Departments!$A$1:$A$6, 0))</f>
        <v>Sales</v>
      </c>
      <c r="O253" s="3" t="str">
        <f>INDEX(Departments!$B$2:$B$6,MATCH(Employees!F253,Departments!$A$2:$A$6,0))</f>
        <v>Sales</v>
      </c>
      <c r="P253" s="3">
        <f>INDEX(Performance!$C$2:$C$501,MATCH(Employees!A253,Performance!$A$2:$A$501,0))</f>
        <v>3</v>
      </c>
      <c r="Q253" s="4">
        <f t="shared" si="3"/>
        <v>5589.64</v>
      </c>
    </row>
    <row r="254" spans="1:17" hidden="1" x14ac:dyDescent="0.25">
      <c r="A254" s="2" t="s">
        <v>796</v>
      </c>
      <c r="B254" s="2" t="s">
        <v>44</v>
      </c>
      <c r="C254" s="2" t="s">
        <v>101</v>
      </c>
      <c r="D254" s="2" t="s">
        <v>29</v>
      </c>
      <c r="E254" s="2">
        <v>25</v>
      </c>
      <c r="F254" s="2" t="s">
        <v>45</v>
      </c>
      <c r="G254" s="2" t="s">
        <v>31</v>
      </c>
      <c r="H254" s="2" t="s">
        <v>797</v>
      </c>
      <c r="I254" s="2">
        <v>94875</v>
      </c>
      <c r="J254" s="2" t="s">
        <v>66</v>
      </c>
      <c r="K254" s="2" t="s">
        <v>798</v>
      </c>
      <c r="L254" s="2" t="s">
        <v>26</v>
      </c>
      <c r="M254" s="2" t="str">
        <f>VLOOKUP(F254,Departments!$A$1:$C$6,2,0)</f>
        <v>Marketing</v>
      </c>
      <c r="N254" s="2" t="str">
        <f>INDEX(Departments!$B$1:$B$6, MATCH(Employees!F254, Departments!$A$1:$A$6, 0))</f>
        <v>Marketing</v>
      </c>
      <c r="O254" s="3" t="str">
        <f>INDEX(Departments!$B$2:$B$6,MATCH(Employees!F254,Departments!$A$2:$A$6,0))</f>
        <v>Marketing</v>
      </c>
      <c r="P254" s="3">
        <f>INDEX(Performance!$C$2:$C$501,MATCH(Employees!A254,Performance!$A$2:$A$501,0))</f>
        <v>1</v>
      </c>
      <c r="Q254" s="4">
        <f t="shared" si="3"/>
        <v>4743.75</v>
      </c>
    </row>
    <row r="255" spans="1:17" hidden="1" x14ac:dyDescent="0.25">
      <c r="A255" s="2" t="s">
        <v>799</v>
      </c>
      <c r="B255" s="2" t="s">
        <v>44</v>
      </c>
      <c r="C255" s="2" t="s">
        <v>51</v>
      </c>
      <c r="D255" s="2" t="s">
        <v>20</v>
      </c>
      <c r="E255" s="2">
        <v>42</v>
      </c>
      <c r="F255" s="2" t="s">
        <v>30</v>
      </c>
      <c r="G255" s="2" t="s">
        <v>38</v>
      </c>
      <c r="H255" s="2" t="s">
        <v>800</v>
      </c>
      <c r="I255" s="2">
        <v>43197</v>
      </c>
      <c r="J255" s="2" t="s">
        <v>24</v>
      </c>
      <c r="K255" s="2" t="s">
        <v>801</v>
      </c>
      <c r="L255" s="2" t="s">
        <v>42</v>
      </c>
      <c r="M255" s="2" t="str">
        <f>VLOOKUP(F255,Departments!$A$1:$C$6,2,0)</f>
        <v>IT</v>
      </c>
      <c r="N255" s="2" t="str">
        <f>INDEX(Departments!$B$1:$B$6, MATCH(Employees!F255, Departments!$A$1:$A$6, 0))</f>
        <v>IT</v>
      </c>
      <c r="O255" s="3" t="str">
        <f>INDEX(Departments!$B$2:$B$6,MATCH(Employees!F255,Departments!$A$2:$A$6,0))</f>
        <v>IT</v>
      </c>
      <c r="P255" s="3">
        <f>INDEX(Performance!$C$2:$C$501,MATCH(Employees!A255,Performance!$A$2:$A$501,0))</f>
        <v>5</v>
      </c>
      <c r="Q255" s="4">
        <f t="shared" si="3"/>
        <v>6479.55</v>
      </c>
    </row>
    <row r="256" spans="1:17" hidden="1" x14ac:dyDescent="0.25">
      <c r="A256" s="2" t="s">
        <v>802</v>
      </c>
      <c r="B256" s="2" t="s">
        <v>55</v>
      </c>
      <c r="C256" s="2" t="s">
        <v>96</v>
      </c>
      <c r="D256" s="2" t="s">
        <v>29</v>
      </c>
      <c r="E256" s="2">
        <v>32</v>
      </c>
      <c r="F256" s="2" t="s">
        <v>56</v>
      </c>
      <c r="G256" s="2" t="s">
        <v>46</v>
      </c>
      <c r="H256" s="2" t="s">
        <v>803</v>
      </c>
      <c r="I256" s="2">
        <v>117451</v>
      </c>
      <c r="J256" s="2" t="s">
        <v>71</v>
      </c>
      <c r="K256" s="2" t="s">
        <v>804</v>
      </c>
      <c r="L256" s="2" t="s">
        <v>26</v>
      </c>
      <c r="M256" s="2" t="str">
        <f>VLOOKUP(F256,Departments!$A$1:$C$6,2,0)</f>
        <v>Finance</v>
      </c>
      <c r="N256" s="2" t="str">
        <f>INDEX(Departments!$B$1:$B$6, MATCH(Employees!F256, Departments!$A$1:$A$6, 0))</f>
        <v>Finance</v>
      </c>
      <c r="O256" s="3" t="str">
        <f>INDEX(Departments!$B$2:$B$6,MATCH(Employees!F256,Departments!$A$2:$A$6,0))</f>
        <v>Finance</v>
      </c>
      <c r="P256" s="3">
        <f>INDEX(Performance!$C$2:$C$501,MATCH(Employees!A256,Performance!$A$2:$A$501,0))</f>
        <v>1</v>
      </c>
      <c r="Q256" s="4">
        <f t="shared" si="3"/>
        <v>5872.55</v>
      </c>
    </row>
    <row r="257" spans="1:17" hidden="1" x14ac:dyDescent="0.25">
      <c r="A257" s="2" t="s">
        <v>805</v>
      </c>
      <c r="B257" s="2" t="s">
        <v>149</v>
      </c>
      <c r="C257" s="2" t="s">
        <v>136</v>
      </c>
      <c r="D257" s="2" t="s">
        <v>29</v>
      </c>
      <c r="E257" s="2">
        <v>28</v>
      </c>
      <c r="F257" s="2" t="s">
        <v>45</v>
      </c>
      <c r="G257" s="2" t="s">
        <v>46</v>
      </c>
      <c r="H257" s="2" t="s">
        <v>806</v>
      </c>
      <c r="I257" s="2">
        <v>54493</v>
      </c>
      <c r="J257" s="2" t="s">
        <v>71</v>
      </c>
      <c r="K257" s="2" t="s">
        <v>807</v>
      </c>
      <c r="L257" s="2" t="s">
        <v>26</v>
      </c>
      <c r="M257" s="2" t="str">
        <f>VLOOKUP(F257,Departments!$A$1:$C$6,2,0)</f>
        <v>Marketing</v>
      </c>
      <c r="N257" s="2" t="str">
        <f>INDEX(Departments!$B$1:$B$6, MATCH(Employees!F257, Departments!$A$1:$A$6, 0))</f>
        <v>Marketing</v>
      </c>
      <c r="O257" s="3" t="str">
        <f>INDEX(Departments!$B$2:$B$6,MATCH(Employees!F257,Departments!$A$2:$A$6,0))</f>
        <v>Marketing</v>
      </c>
      <c r="P257" s="3">
        <f>INDEX(Performance!$C$2:$C$501,MATCH(Employees!A257,Performance!$A$2:$A$501,0))</f>
        <v>4</v>
      </c>
      <c r="Q257" s="4">
        <f t="shared" si="3"/>
        <v>5449.3</v>
      </c>
    </row>
    <row r="258" spans="1:17" hidden="1" x14ac:dyDescent="0.25">
      <c r="A258" s="2" t="s">
        <v>808</v>
      </c>
      <c r="B258" s="2" t="s">
        <v>149</v>
      </c>
      <c r="C258" s="2" t="s">
        <v>84</v>
      </c>
      <c r="D258" s="2" t="s">
        <v>20</v>
      </c>
      <c r="E258" s="2">
        <v>55</v>
      </c>
      <c r="F258" s="2" t="s">
        <v>45</v>
      </c>
      <c r="G258" s="2" t="s">
        <v>38</v>
      </c>
      <c r="H258" s="2" t="s">
        <v>809</v>
      </c>
      <c r="I258" s="2">
        <v>68822</v>
      </c>
      <c r="J258" s="2" t="s">
        <v>40</v>
      </c>
      <c r="K258" s="2" t="s">
        <v>810</v>
      </c>
      <c r="L258" s="2" t="s">
        <v>42</v>
      </c>
      <c r="M258" s="2" t="str">
        <f>VLOOKUP(F258,Departments!$A$1:$C$6,2,0)</f>
        <v>Marketing</v>
      </c>
      <c r="N258" s="2" t="str">
        <f>INDEX(Departments!$B$1:$B$6, MATCH(Employees!F258, Departments!$A$1:$A$6, 0))</f>
        <v>Marketing</v>
      </c>
      <c r="O258" s="3" t="str">
        <f>INDEX(Departments!$B$2:$B$6,MATCH(Employees!F258,Departments!$A$2:$A$6,0))</f>
        <v>Marketing</v>
      </c>
      <c r="P258" s="3">
        <f>INDEX(Performance!$C$2:$C$501,MATCH(Employees!A258,Performance!$A$2:$A$501,0))</f>
        <v>3</v>
      </c>
      <c r="Q258" s="4">
        <f t="shared" ref="Q258:Q321" si="4">IF(P258=5,I258*0.15,IF(P258=4,I258*0.1,IF(P258=3,I258*0.07,IF(P258&lt;3,I258*0.05,0))))</f>
        <v>4817.5400000000009</v>
      </c>
    </row>
    <row r="259" spans="1:17" hidden="1" x14ac:dyDescent="0.25">
      <c r="A259" s="2" t="s">
        <v>811</v>
      </c>
      <c r="B259" s="2" t="s">
        <v>50</v>
      </c>
      <c r="C259" s="2" t="s">
        <v>101</v>
      </c>
      <c r="D259" s="2" t="s">
        <v>29</v>
      </c>
      <c r="E259" s="2">
        <v>27</v>
      </c>
      <c r="F259" s="2" t="s">
        <v>56</v>
      </c>
      <c r="G259" s="2" t="s">
        <v>31</v>
      </c>
      <c r="H259" s="2" t="s">
        <v>812</v>
      </c>
      <c r="I259" s="2">
        <v>96058</v>
      </c>
      <c r="J259" s="2" t="s">
        <v>24</v>
      </c>
      <c r="K259" s="2" t="s">
        <v>813</v>
      </c>
      <c r="L259" s="2" t="s">
        <v>42</v>
      </c>
      <c r="M259" s="2" t="str">
        <f>VLOOKUP(F259,Departments!$A$1:$C$6,2,0)</f>
        <v>Finance</v>
      </c>
      <c r="N259" s="2" t="str">
        <f>INDEX(Departments!$B$1:$B$6, MATCH(Employees!F259, Departments!$A$1:$A$6, 0))</f>
        <v>Finance</v>
      </c>
      <c r="O259" s="3" t="str">
        <f>INDEX(Departments!$B$2:$B$6,MATCH(Employees!F259,Departments!$A$2:$A$6,0))</f>
        <v>Finance</v>
      </c>
      <c r="P259" s="3">
        <f>INDEX(Performance!$C$2:$C$501,MATCH(Employees!A259,Performance!$A$2:$A$501,0))</f>
        <v>2</v>
      </c>
      <c r="Q259" s="4">
        <f t="shared" si="4"/>
        <v>4802.9000000000005</v>
      </c>
    </row>
    <row r="260" spans="1:17" hidden="1" x14ac:dyDescent="0.25">
      <c r="A260" s="2" t="s">
        <v>814</v>
      </c>
      <c r="B260" s="2" t="s">
        <v>149</v>
      </c>
      <c r="C260" s="2" t="s">
        <v>171</v>
      </c>
      <c r="D260" s="2" t="s">
        <v>29</v>
      </c>
      <c r="E260" s="2">
        <v>26</v>
      </c>
      <c r="F260" s="2" t="s">
        <v>21</v>
      </c>
      <c r="G260" s="2" t="s">
        <v>22</v>
      </c>
      <c r="H260" s="2" t="s">
        <v>815</v>
      </c>
      <c r="I260" s="2">
        <v>109724</v>
      </c>
      <c r="J260" s="2" t="s">
        <v>66</v>
      </c>
      <c r="K260" s="2" t="s">
        <v>816</v>
      </c>
      <c r="L260" s="2" t="s">
        <v>26</v>
      </c>
      <c r="M260" s="2" t="str">
        <f>VLOOKUP(F260,Departments!$A$1:$C$6,2,0)</f>
        <v>HR</v>
      </c>
      <c r="N260" s="2" t="str">
        <f>INDEX(Departments!$B$1:$B$6, MATCH(Employees!F260, Departments!$A$1:$A$6, 0))</f>
        <v>HR</v>
      </c>
      <c r="O260" s="3" t="str">
        <f>INDEX(Departments!$B$2:$B$6,MATCH(Employees!F260,Departments!$A$2:$A$6,0))</f>
        <v>HR</v>
      </c>
      <c r="P260" s="3">
        <f>INDEX(Performance!$C$2:$C$501,MATCH(Employees!A260,Performance!$A$2:$A$501,0))</f>
        <v>1</v>
      </c>
      <c r="Q260" s="4">
        <f t="shared" si="4"/>
        <v>5486.2000000000007</v>
      </c>
    </row>
    <row r="261" spans="1:17" hidden="1" x14ac:dyDescent="0.25">
      <c r="A261" s="2" t="s">
        <v>817</v>
      </c>
      <c r="B261" s="2" t="s">
        <v>50</v>
      </c>
      <c r="C261" s="2" t="s">
        <v>51</v>
      </c>
      <c r="D261" s="2" t="s">
        <v>29</v>
      </c>
      <c r="E261" s="2">
        <v>35</v>
      </c>
      <c r="F261" s="2" t="s">
        <v>21</v>
      </c>
      <c r="G261" s="2" t="s">
        <v>31</v>
      </c>
      <c r="H261" s="2" t="s">
        <v>219</v>
      </c>
      <c r="I261" s="2">
        <v>69243</v>
      </c>
      <c r="J261" s="2" t="s">
        <v>71</v>
      </c>
      <c r="K261" s="2" t="s">
        <v>818</v>
      </c>
      <c r="L261" s="2" t="s">
        <v>42</v>
      </c>
      <c r="M261" s="2" t="str">
        <f>VLOOKUP(F261,Departments!$A$1:$C$6,2,0)</f>
        <v>HR</v>
      </c>
      <c r="N261" s="2" t="str">
        <f>INDEX(Departments!$B$1:$B$6, MATCH(Employees!F261, Departments!$A$1:$A$6, 0))</f>
        <v>HR</v>
      </c>
      <c r="O261" s="3" t="str">
        <f>INDEX(Departments!$B$2:$B$6,MATCH(Employees!F261,Departments!$A$2:$A$6,0))</f>
        <v>HR</v>
      </c>
      <c r="P261" s="3">
        <f>INDEX(Performance!$C$2:$C$501,MATCH(Employees!A261,Performance!$A$2:$A$501,0))</f>
        <v>3</v>
      </c>
      <c r="Q261" s="4">
        <f t="shared" si="4"/>
        <v>4847.01</v>
      </c>
    </row>
    <row r="262" spans="1:17" hidden="1" x14ac:dyDescent="0.25">
      <c r="A262" s="2" t="s">
        <v>819</v>
      </c>
      <c r="B262" s="2" t="s">
        <v>60</v>
      </c>
      <c r="C262" s="2" t="s">
        <v>51</v>
      </c>
      <c r="D262" s="2" t="s">
        <v>20</v>
      </c>
      <c r="E262" s="2">
        <v>22</v>
      </c>
      <c r="F262" s="2" t="s">
        <v>30</v>
      </c>
      <c r="G262" s="2" t="s">
        <v>31</v>
      </c>
      <c r="H262" s="2" t="s">
        <v>820</v>
      </c>
      <c r="I262" s="2">
        <v>46775</v>
      </c>
      <c r="J262" s="2" t="s">
        <v>24</v>
      </c>
      <c r="K262" s="2" t="s">
        <v>821</v>
      </c>
      <c r="L262" s="2" t="s">
        <v>42</v>
      </c>
      <c r="M262" s="2" t="str">
        <f>VLOOKUP(F262,Departments!$A$1:$C$6,2,0)</f>
        <v>IT</v>
      </c>
      <c r="N262" s="2" t="str">
        <f>INDEX(Departments!$B$1:$B$6, MATCH(Employees!F262, Departments!$A$1:$A$6, 0))</f>
        <v>IT</v>
      </c>
      <c r="O262" s="3" t="str">
        <f>INDEX(Departments!$B$2:$B$6,MATCH(Employees!F262,Departments!$A$2:$A$6,0))</f>
        <v>IT</v>
      </c>
      <c r="P262" s="3">
        <f>INDEX(Performance!$C$2:$C$501,MATCH(Employees!A262,Performance!$A$2:$A$501,0))</f>
        <v>4</v>
      </c>
      <c r="Q262" s="4">
        <f t="shared" si="4"/>
        <v>4677.5</v>
      </c>
    </row>
    <row r="263" spans="1:17" hidden="1" x14ac:dyDescent="0.25">
      <c r="A263" s="2" t="s">
        <v>822</v>
      </c>
      <c r="B263" s="2" t="s">
        <v>60</v>
      </c>
      <c r="C263" s="2" t="s">
        <v>136</v>
      </c>
      <c r="D263" s="2" t="s">
        <v>20</v>
      </c>
      <c r="E263" s="2">
        <v>37</v>
      </c>
      <c r="F263" s="2" t="s">
        <v>21</v>
      </c>
      <c r="G263" s="2" t="s">
        <v>46</v>
      </c>
      <c r="H263" s="2" t="s">
        <v>750</v>
      </c>
      <c r="I263" s="2">
        <v>86841</v>
      </c>
      <c r="J263" s="2" t="s">
        <v>66</v>
      </c>
      <c r="K263" s="2" t="s">
        <v>823</v>
      </c>
      <c r="L263" s="2" t="s">
        <v>42</v>
      </c>
      <c r="M263" s="2" t="str">
        <f>VLOOKUP(F263,Departments!$A$1:$C$6,2,0)</f>
        <v>HR</v>
      </c>
      <c r="N263" s="2" t="str">
        <f>INDEX(Departments!$B$1:$B$6, MATCH(Employees!F263, Departments!$A$1:$A$6, 0))</f>
        <v>HR</v>
      </c>
      <c r="O263" s="3" t="str">
        <f>INDEX(Departments!$B$2:$B$6,MATCH(Employees!F263,Departments!$A$2:$A$6,0))</f>
        <v>HR</v>
      </c>
      <c r="P263" s="3">
        <f>INDEX(Performance!$C$2:$C$501,MATCH(Employees!A263,Performance!$A$2:$A$501,0))</f>
        <v>2</v>
      </c>
      <c r="Q263" s="4">
        <f t="shared" si="4"/>
        <v>4342.05</v>
      </c>
    </row>
    <row r="264" spans="1:17" hidden="1" x14ac:dyDescent="0.25">
      <c r="A264" s="2" t="s">
        <v>824</v>
      </c>
      <c r="B264" s="2" t="s">
        <v>36</v>
      </c>
      <c r="C264" s="2" t="s">
        <v>96</v>
      </c>
      <c r="D264" s="2" t="s">
        <v>29</v>
      </c>
      <c r="E264" s="2">
        <v>59</v>
      </c>
      <c r="F264" s="2" t="s">
        <v>21</v>
      </c>
      <c r="G264" s="2" t="s">
        <v>114</v>
      </c>
      <c r="H264" s="2" t="s">
        <v>825</v>
      </c>
      <c r="I264" s="2">
        <v>91520</v>
      </c>
      <c r="J264" s="2" t="s">
        <v>86</v>
      </c>
      <c r="K264" s="2" t="s">
        <v>826</v>
      </c>
      <c r="L264" s="2" t="s">
        <v>42</v>
      </c>
      <c r="M264" s="2" t="str">
        <f>VLOOKUP(F264,Departments!$A$1:$C$6,2,0)</f>
        <v>HR</v>
      </c>
      <c r="N264" s="2" t="str">
        <f>INDEX(Departments!$B$1:$B$6, MATCH(Employees!F264, Departments!$A$1:$A$6, 0))</f>
        <v>HR</v>
      </c>
      <c r="O264" s="3" t="str">
        <f>INDEX(Departments!$B$2:$B$6,MATCH(Employees!F264,Departments!$A$2:$A$6,0))</f>
        <v>HR</v>
      </c>
      <c r="P264" s="3">
        <f>INDEX(Performance!$C$2:$C$501,MATCH(Employees!A264,Performance!$A$2:$A$501,0))</f>
        <v>5</v>
      </c>
      <c r="Q264" s="4">
        <f t="shared" si="4"/>
        <v>13728</v>
      </c>
    </row>
    <row r="265" spans="1:17" x14ac:dyDescent="0.25">
      <c r="A265" s="2" t="s">
        <v>827</v>
      </c>
      <c r="B265" s="2" t="s">
        <v>100</v>
      </c>
      <c r="C265" s="2" t="s">
        <v>136</v>
      </c>
      <c r="D265" s="2" t="s">
        <v>20</v>
      </c>
      <c r="E265" s="2">
        <v>44</v>
      </c>
      <c r="F265" s="2" t="s">
        <v>30</v>
      </c>
      <c r="G265" s="2" t="s">
        <v>22</v>
      </c>
      <c r="H265" s="2" t="s">
        <v>828</v>
      </c>
      <c r="I265" s="2">
        <v>97265</v>
      </c>
      <c r="J265" s="2" t="s">
        <v>24</v>
      </c>
      <c r="K265" s="2" t="s">
        <v>829</v>
      </c>
      <c r="L265" s="2" t="s">
        <v>26</v>
      </c>
      <c r="M265" s="2" t="str">
        <f>VLOOKUP(F265,Departments!$A$1:$C$6,2,0)</f>
        <v>IT</v>
      </c>
      <c r="N265" s="2" t="str">
        <f>INDEX(Departments!$B$1:$B$6, MATCH(Employees!F265, Departments!$A$1:$A$6, 0))</f>
        <v>IT</v>
      </c>
      <c r="O265" s="6" t="str">
        <f>INDEX(Departments!$B$2:$B$6,MATCH(Employees!F265,Departments!$A$2:$A$6,0))</f>
        <v>IT</v>
      </c>
      <c r="P265" s="6">
        <f>_xlfn.XLOOKUP(A265,Performance!$A$2:$A$501,Performance!$C$2:$C$501)</f>
        <v>2</v>
      </c>
      <c r="Q265" s="7">
        <f t="shared" si="4"/>
        <v>4863.25</v>
      </c>
    </row>
    <row r="266" spans="1:17" hidden="1" x14ac:dyDescent="0.25">
      <c r="A266" s="2" t="s">
        <v>830</v>
      </c>
      <c r="B266" s="2" t="s">
        <v>36</v>
      </c>
      <c r="C266" s="2" t="s">
        <v>84</v>
      </c>
      <c r="D266" s="2" t="s">
        <v>29</v>
      </c>
      <c r="E266" s="2">
        <v>60</v>
      </c>
      <c r="F266" s="2" t="s">
        <v>21</v>
      </c>
      <c r="G266" s="2" t="s">
        <v>38</v>
      </c>
      <c r="H266" s="2" t="s">
        <v>831</v>
      </c>
      <c r="I266" s="2">
        <v>76450</v>
      </c>
      <c r="J266" s="2" t="s">
        <v>66</v>
      </c>
      <c r="K266" s="2" t="s">
        <v>832</v>
      </c>
      <c r="L266" s="2" t="s">
        <v>26</v>
      </c>
      <c r="M266" s="2" t="str">
        <f>VLOOKUP(F266,Departments!$A$1:$C$6,2,0)</f>
        <v>HR</v>
      </c>
      <c r="N266" s="2" t="str">
        <f>INDEX(Departments!$B$1:$B$6, MATCH(Employees!F266, Departments!$A$1:$A$6, 0))</f>
        <v>HR</v>
      </c>
      <c r="O266" s="3" t="str">
        <f>INDEX(Departments!$B$2:$B$6,MATCH(Employees!F266,Departments!$A$2:$A$6,0))</f>
        <v>HR</v>
      </c>
      <c r="P266" s="3">
        <f>INDEX(Performance!$C$2:$C$501,MATCH(Employees!A266,Performance!$A$2:$A$501,0))</f>
        <v>2</v>
      </c>
      <c r="Q266" s="4">
        <f t="shared" si="4"/>
        <v>3822.5</v>
      </c>
    </row>
    <row r="267" spans="1:17" hidden="1" x14ac:dyDescent="0.25">
      <c r="A267" s="2" t="s">
        <v>833</v>
      </c>
      <c r="B267" s="2" t="s">
        <v>64</v>
      </c>
      <c r="C267" s="2" t="s">
        <v>19</v>
      </c>
      <c r="D267" s="2" t="s">
        <v>29</v>
      </c>
      <c r="E267" s="2">
        <v>45</v>
      </c>
      <c r="F267" s="2" t="s">
        <v>30</v>
      </c>
      <c r="G267" s="2" t="s">
        <v>22</v>
      </c>
      <c r="H267" s="2" t="s">
        <v>834</v>
      </c>
      <c r="I267" s="2">
        <v>85702</v>
      </c>
      <c r="J267" s="2" t="s">
        <v>40</v>
      </c>
      <c r="K267" s="2" t="s">
        <v>835</v>
      </c>
      <c r="L267" s="2" t="s">
        <v>42</v>
      </c>
      <c r="M267" s="2" t="str">
        <f>VLOOKUP(F267,Departments!$A$1:$C$6,2,0)</f>
        <v>IT</v>
      </c>
      <c r="N267" s="2" t="str">
        <f>INDEX(Departments!$B$1:$B$6, MATCH(Employees!F267, Departments!$A$1:$A$6, 0))</f>
        <v>IT</v>
      </c>
      <c r="O267" s="3" t="str">
        <f>INDEX(Departments!$B$2:$B$6,MATCH(Employees!F267,Departments!$A$2:$A$6,0))</f>
        <v>IT</v>
      </c>
      <c r="P267" s="3">
        <f>INDEX(Performance!$C$2:$C$501,MATCH(Employees!A267,Performance!$A$2:$A$501,0))</f>
        <v>4</v>
      </c>
      <c r="Q267" s="4">
        <f t="shared" si="4"/>
        <v>8570.2000000000007</v>
      </c>
    </row>
    <row r="268" spans="1:17" hidden="1" x14ac:dyDescent="0.25">
      <c r="A268" s="2" t="s">
        <v>836</v>
      </c>
      <c r="B268" s="2" t="s">
        <v>77</v>
      </c>
      <c r="C268" s="2" t="s">
        <v>171</v>
      </c>
      <c r="D268" s="2" t="s">
        <v>20</v>
      </c>
      <c r="E268" s="2">
        <v>52</v>
      </c>
      <c r="F268" s="2" t="s">
        <v>37</v>
      </c>
      <c r="G268" s="2" t="s">
        <v>46</v>
      </c>
      <c r="H268" s="2" t="s">
        <v>837</v>
      </c>
      <c r="I268" s="2">
        <v>94043</v>
      </c>
      <c r="J268" s="2" t="s">
        <v>71</v>
      </c>
      <c r="K268" s="2" t="s">
        <v>838</v>
      </c>
      <c r="L268" s="2" t="s">
        <v>42</v>
      </c>
      <c r="M268" s="2" t="str">
        <f>VLOOKUP(F268,Departments!$A$1:$C$6,2,0)</f>
        <v>Sales</v>
      </c>
      <c r="N268" s="2" t="str">
        <f>INDEX(Departments!$B$1:$B$6, MATCH(Employees!F268, Departments!$A$1:$A$6, 0))</f>
        <v>Sales</v>
      </c>
      <c r="O268" s="3" t="str">
        <f>INDEX(Departments!$B$2:$B$6,MATCH(Employees!F268,Departments!$A$2:$A$6,0))</f>
        <v>Sales</v>
      </c>
      <c r="P268" s="3">
        <f>INDEX(Performance!$C$2:$C$501,MATCH(Employees!A268,Performance!$A$2:$A$501,0))</f>
        <v>4</v>
      </c>
      <c r="Q268" s="4">
        <f t="shared" si="4"/>
        <v>9404.3000000000011</v>
      </c>
    </row>
    <row r="269" spans="1:17" hidden="1" x14ac:dyDescent="0.25">
      <c r="A269" s="2" t="s">
        <v>839</v>
      </c>
      <c r="B269" s="2" t="s">
        <v>50</v>
      </c>
      <c r="C269" s="2" t="s">
        <v>84</v>
      </c>
      <c r="D269" s="2" t="s">
        <v>20</v>
      </c>
      <c r="E269" s="2">
        <v>26</v>
      </c>
      <c r="F269" s="2" t="s">
        <v>37</v>
      </c>
      <c r="G269" s="2" t="s">
        <v>114</v>
      </c>
      <c r="H269" s="2" t="s">
        <v>840</v>
      </c>
      <c r="I269" s="2">
        <v>59385</v>
      </c>
      <c r="J269" s="2" t="s">
        <v>40</v>
      </c>
      <c r="K269" s="2" t="s">
        <v>841</v>
      </c>
      <c r="L269" s="2" t="s">
        <v>26</v>
      </c>
      <c r="M269" s="2" t="str">
        <f>VLOOKUP(F269,Departments!$A$1:$C$6,2,0)</f>
        <v>Sales</v>
      </c>
      <c r="N269" s="2" t="str">
        <f>INDEX(Departments!$B$1:$B$6, MATCH(Employees!F269, Departments!$A$1:$A$6, 0))</f>
        <v>Sales</v>
      </c>
      <c r="O269" s="3" t="str">
        <f>INDEX(Departments!$B$2:$B$6,MATCH(Employees!F269,Departments!$A$2:$A$6,0))</f>
        <v>Sales</v>
      </c>
      <c r="P269" s="3">
        <f>INDEX(Performance!$C$2:$C$501,MATCH(Employees!A269,Performance!$A$2:$A$501,0))</f>
        <v>2</v>
      </c>
      <c r="Q269" s="4">
        <f t="shared" si="4"/>
        <v>2969.25</v>
      </c>
    </row>
    <row r="270" spans="1:17" hidden="1" x14ac:dyDescent="0.25">
      <c r="A270" s="2" t="s">
        <v>842</v>
      </c>
      <c r="B270" s="2" t="s">
        <v>60</v>
      </c>
      <c r="C270" s="2" t="s">
        <v>69</v>
      </c>
      <c r="D270" s="2" t="s">
        <v>20</v>
      </c>
      <c r="E270" s="2">
        <v>43</v>
      </c>
      <c r="F270" s="2" t="s">
        <v>56</v>
      </c>
      <c r="G270" s="2" t="s">
        <v>46</v>
      </c>
      <c r="H270" s="2" t="s">
        <v>843</v>
      </c>
      <c r="I270" s="2">
        <v>114243</v>
      </c>
      <c r="J270" s="2" t="s">
        <v>71</v>
      </c>
      <c r="K270" s="2" t="s">
        <v>844</v>
      </c>
      <c r="L270" s="2" t="s">
        <v>26</v>
      </c>
      <c r="M270" s="2" t="str">
        <f>VLOOKUP(F270,Departments!$A$1:$C$6,2,0)</f>
        <v>Finance</v>
      </c>
      <c r="N270" s="2" t="str">
        <f>INDEX(Departments!$B$1:$B$6, MATCH(Employees!F270, Departments!$A$1:$A$6, 0))</f>
        <v>Finance</v>
      </c>
      <c r="O270" s="3" t="str">
        <f>INDEX(Departments!$B$2:$B$6,MATCH(Employees!F270,Departments!$A$2:$A$6,0))</f>
        <v>Finance</v>
      </c>
      <c r="P270" s="3">
        <f>INDEX(Performance!$C$2:$C$501,MATCH(Employees!A270,Performance!$A$2:$A$501,0))</f>
        <v>1</v>
      </c>
      <c r="Q270" s="4">
        <f t="shared" si="4"/>
        <v>5712.1500000000005</v>
      </c>
    </row>
    <row r="271" spans="1:17" hidden="1" x14ac:dyDescent="0.25">
      <c r="A271" s="2" t="s">
        <v>845</v>
      </c>
      <c r="B271" s="2" t="s">
        <v>18</v>
      </c>
      <c r="C271" s="2" t="s">
        <v>89</v>
      </c>
      <c r="D271" s="2" t="s">
        <v>20</v>
      </c>
      <c r="E271" s="2">
        <v>38</v>
      </c>
      <c r="F271" s="2" t="s">
        <v>21</v>
      </c>
      <c r="G271" s="2" t="s">
        <v>22</v>
      </c>
      <c r="H271" s="2" t="s">
        <v>846</v>
      </c>
      <c r="I271" s="2">
        <v>108702</v>
      </c>
      <c r="J271" s="2" t="s">
        <v>66</v>
      </c>
      <c r="K271" s="2" t="s">
        <v>847</v>
      </c>
      <c r="L271" s="2" t="s">
        <v>26</v>
      </c>
      <c r="M271" s="2" t="str">
        <f>VLOOKUP(F271,Departments!$A$1:$C$6,2,0)</f>
        <v>HR</v>
      </c>
      <c r="N271" s="2" t="str">
        <f>INDEX(Departments!$B$1:$B$6, MATCH(Employees!F271, Departments!$A$1:$A$6, 0))</f>
        <v>HR</v>
      </c>
      <c r="O271" s="3" t="str">
        <f>INDEX(Departments!$B$2:$B$6,MATCH(Employees!F271,Departments!$A$2:$A$6,0))</f>
        <v>HR</v>
      </c>
      <c r="P271" s="3">
        <f>INDEX(Performance!$C$2:$C$501,MATCH(Employees!A271,Performance!$A$2:$A$501,0))</f>
        <v>4</v>
      </c>
      <c r="Q271" s="4">
        <f t="shared" si="4"/>
        <v>10870.2</v>
      </c>
    </row>
    <row r="272" spans="1:17" hidden="1" x14ac:dyDescent="0.25">
      <c r="A272" s="2" t="s">
        <v>848</v>
      </c>
      <c r="B272" s="2" t="s">
        <v>18</v>
      </c>
      <c r="C272" s="2" t="s">
        <v>84</v>
      </c>
      <c r="D272" s="2" t="s">
        <v>29</v>
      </c>
      <c r="E272" s="2">
        <v>54</v>
      </c>
      <c r="F272" s="2" t="s">
        <v>21</v>
      </c>
      <c r="G272" s="2" t="s">
        <v>46</v>
      </c>
      <c r="H272" s="2" t="s">
        <v>849</v>
      </c>
      <c r="I272" s="2">
        <v>103130</v>
      </c>
      <c r="J272" s="2" t="s">
        <v>24</v>
      </c>
      <c r="K272" s="2" t="s">
        <v>850</v>
      </c>
      <c r="L272" s="2" t="s">
        <v>26</v>
      </c>
      <c r="M272" s="2" t="str">
        <f>VLOOKUP(F272,Departments!$A$1:$C$6,2,0)</f>
        <v>HR</v>
      </c>
      <c r="N272" s="2" t="str">
        <f>INDEX(Departments!$B$1:$B$6, MATCH(Employees!F272, Departments!$A$1:$A$6, 0))</f>
        <v>HR</v>
      </c>
      <c r="O272" s="3" t="str">
        <f>INDEX(Departments!$B$2:$B$6,MATCH(Employees!F272,Departments!$A$2:$A$6,0))</f>
        <v>HR</v>
      </c>
      <c r="P272" s="3">
        <f>INDEX(Performance!$C$2:$C$501,MATCH(Employees!A272,Performance!$A$2:$A$501,0))</f>
        <v>5</v>
      </c>
      <c r="Q272" s="4">
        <f t="shared" si="4"/>
        <v>15469.5</v>
      </c>
    </row>
    <row r="273" spans="1:17" hidden="1" x14ac:dyDescent="0.25">
      <c r="A273" s="2" t="s">
        <v>851</v>
      </c>
      <c r="B273" s="2" t="s">
        <v>36</v>
      </c>
      <c r="C273" s="2" t="s">
        <v>51</v>
      </c>
      <c r="D273" s="2" t="s">
        <v>29</v>
      </c>
      <c r="E273" s="2">
        <v>44</v>
      </c>
      <c r="F273" s="2" t="s">
        <v>37</v>
      </c>
      <c r="G273" s="2" t="s">
        <v>22</v>
      </c>
      <c r="H273" s="2" t="s">
        <v>852</v>
      </c>
      <c r="I273" s="2">
        <v>71195</v>
      </c>
      <c r="J273" s="2" t="s">
        <v>86</v>
      </c>
      <c r="K273" s="2" t="s">
        <v>853</v>
      </c>
      <c r="L273" s="2" t="s">
        <v>26</v>
      </c>
      <c r="M273" s="2" t="str">
        <f>VLOOKUP(F273,Departments!$A$1:$C$6,2,0)</f>
        <v>Sales</v>
      </c>
      <c r="N273" s="2" t="str">
        <f>INDEX(Departments!$B$1:$B$6, MATCH(Employees!F273, Departments!$A$1:$A$6, 0))</f>
        <v>Sales</v>
      </c>
      <c r="O273" s="3" t="str">
        <f>INDEX(Departments!$B$2:$B$6,MATCH(Employees!F273,Departments!$A$2:$A$6,0))</f>
        <v>Sales</v>
      </c>
      <c r="P273" s="3">
        <f>INDEX(Performance!$C$2:$C$501,MATCH(Employees!A273,Performance!$A$2:$A$501,0))</f>
        <v>4</v>
      </c>
      <c r="Q273" s="4">
        <f t="shared" si="4"/>
        <v>7119.5</v>
      </c>
    </row>
    <row r="274" spans="1:17" hidden="1" x14ac:dyDescent="0.25">
      <c r="A274" s="2" t="s">
        <v>854</v>
      </c>
      <c r="B274" s="2" t="s">
        <v>149</v>
      </c>
      <c r="C274" s="2" t="s">
        <v>89</v>
      </c>
      <c r="D274" s="2" t="s">
        <v>20</v>
      </c>
      <c r="E274" s="2">
        <v>55</v>
      </c>
      <c r="F274" s="2" t="s">
        <v>21</v>
      </c>
      <c r="G274" s="2" t="s">
        <v>31</v>
      </c>
      <c r="H274" s="2" t="s">
        <v>855</v>
      </c>
      <c r="I274" s="2">
        <v>40336</v>
      </c>
      <c r="J274" s="2" t="s">
        <v>86</v>
      </c>
      <c r="K274" s="2" t="s">
        <v>856</v>
      </c>
      <c r="L274" s="2" t="s">
        <v>42</v>
      </c>
      <c r="M274" s="2" t="str">
        <f>VLOOKUP(F274,Departments!$A$1:$C$6,2,0)</f>
        <v>HR</v>
      </c>
      <c r="N274" s="2" t="str">
        <f>INDEX(Departments!$B$1:$B$6, MATCH(Employees!F274, Departments!$A$1:$A$6, 0))</f>
        <v>HR</v>
      </c>
      <c r="O274" s="3" t="str">
        <f>INDEX(Departments!$B$2:$B$6,MATCH(Employees!F274,Departments!$A$2:$A$6,0))</f>
        <v>HR</v>
      </c>
      <c r="P274" s="3">
        <f>INDEX(Performance!$C$2:$C$501,MATCH(Employees!A274,Performance!$A$2:$A$501,0))</f>
        <v>2</v>
      </c>
      <c r="Q274" s="4">
        <f t="shared" si="4"/>
        <v>2016.8000000000002</v>
      </c>
    </row>
    <row r="275" spans="1:17" hidden="1" x14ac:dyDescent="0.25">
      <c r="A275" s="2" t="s">
        <v>857</v>
      </c>
      <c r="B275" s="2" t="s">
        <v>100</v>
      </c>
      <c r="C275" s="2" t="s">
        <v>28</v>
      </c>
      <c r="D275" s="2" t="s">
        <v>29</v>
      </c>
      <c r="E275" s="2">
        <v>52</v>
      </c>
      <c r="F275" s="2" t="s">
        <v>56</v>
      </c>
      <c r="G275" s="2" t="s">
        <v>46</v>
      </c>
      <c r="H275" s="2" t="s">
        <v>858</v>
      </c>
      <c r="I275" s="2">
        <v>107267</v>
      </c>
      <c r="J275" s="2" t="s">
        <v>71</v>
      </c>
      <c r="K275" s="2" t="s">
        <v>859</v>
      </c>
      <c r="L275" s="2" t="s">
        <v>42</v>
      </c>
      <c r="M275" s="2" t="str">
        <f>VLOOKUP(F275,Departments!$A$1:$C$6,2,0)</f>
        <v>Finance</v>
      </c>
      <c r="N275" s="2" t="str">
        <f>INDEX(Departments!$B$1:$B$6, MATCH(Employees!F275, Departments!$A$1:$A$6, 0))</f>
        <v>Finance</v>
      </c>
      <c r="O275" s="3" t="str">
        <f>INDEX(Departments!$B$2:$B$6,MATCH(Employees!F275,Departments!$A$2:$A$6,0))</f>
        <v>Finance</v>
      </c>
      <c r="P275" s="3">
        <f>INDEX(Performance!$C$2:$C$501,MATCH(Employees!A275,Performance!$A$2:$A$501,0))</f>
        <v>4</v>
      </c>
      <c r="Q275" s="4">
        <f t="shared" si="4"/>
        <v>10726.7</v>
      </c>
    </row>
    <row r="276" spans="1:17" hidden="1" x14ac:dyDescent="0.25">
      <c r="A276" s="2" t="s">
        <v>860</v>
      </c>
      <c r="B276" s="2" t="s">
        <v>18</v>
      </c>
      <c r="C276" s="2" t="s">
        <v>96</v>
      </c>
      <c r="D276" s="2" t="s">
        <v>20</v>
      </c>
      <c r="E276" s="2">
        <v>43</v>
      </c>
      <c r="F276" s="2" t="s">
        <v>37</v>
      </c>
      <c r="G276" s="2" t="s">
        <v>38</v>
      </c>
      <c r="H276" s="2" t="s">
        <v>861</v>
      </c>
      <c r="I276" s="2">
        <v>89633</v>
      </c>
      <c r="J276" s="2" t="s">
        <v>71</v>
      </c>
      <c r="K276" s="2" t="s">
        <v>862</v>
      </c>
      <c r="L276" s="2" t="s">
        <v>42</v>
      </c>
      <c r="M276" s="2" t="str">
        <f>VLOOKUP(F276,Departments!$A$1:$C$6,2,0)</f>
        <v>Sales</v>
      </c>
      <c r="N276" s="2" t="str">
        <f>INDEX(Departments!$B$1:$B$6, MATCH(Employees!F276, Departments!$A$1:$A$6, 0))</f>
        <v>Sales</v>
      </c>
      <c r="O276" s="3" t="str">
        <f>INDEX(Departments!$B$2:$B$6,MATCH(Employees!F276,Departments!$A$2:$A$6,0))</f>
        <v>Sales</v>
      </c>
      <c r="P276" s="3">
        <f>INDEX(Performance!$C$2:$C$501,MATCH(Employees!A276,Performance!$A$2:$A$501,0))</f>
        <v>4</v>
      </c>
      <c r="Q276" s="4">
        <f t="shared" si="4"/>
        <v>8963.3000000000011</v>
      </c>
    </row>
    <row r="277" spans="1:17" hidden="1" x14ac:dyDescent="0.25">
      <c r="A277" s="2" t="s">
        <v>863</v>
      </c>
      <c r="B277" s="2" t="s">
        <v>60</v>
      </c>
      <c r="C277" s="2" t="s">
        <v>28</v>
      </c>
      <c r="D277" s="2" t="s">
        <v>29</v>
      </c>
      <c r="E277" s="2">
        <v>51</v>
      </c>
      <c r="F277" s="2" t="s">
        <v>37</v>
      </c>
      <c r="G277" s="2" t="s">
        <v>46</v>
      </c>
      <c r="H277" s="2" t="s">
        <v>864</v>
      </c>
      <c r="I277" s="2">
        <v>76409</v>
      </c>
      <c r="J277" s="2" t="s">
        <v>40</v>
      </c>
      <c r="K277" s="2" t="s">
        <v>865</v>
      </c>
      <c r="L277" s="2" t="s">
        <v>42</v>
      </c>
      <c r="M277" s="2" t="str">
        <f>VLOOKUP(F277,Departments!$A$1:$C$6,2,0)</f>
        <v>Sales</v>
      </c>
      <c r="N277" s="2" t="str">
        <f>INDEX(Departments!$B$1:$B$6, MATCH(Employees!F277, Departments!$A$1:$A$6, 0))</f>
        <v>Sales</v>
      </c>
      <c r="O277" s="3" t="str">
        <f>INDEX(Departments!$B$2:$B$6,MATCH(Employees!F277,Departments!$A$2:$A$6,0))</f>
        <v>Sales</v>
      </c>
      <c r="P277" s="3">
        <f>INDEX(Performance!$C$2:$C$501,MATCH(Employees!A277,Performance!$A$2:$A$501,0))</f>
        <v>2</v>
      </c>
      <c r="Q277" s="4">
        <f t="shared" si="4"/>
        <v>3820.4500000000003</v>
      </c>
    </row>
    <row r="278" spans="1:17" hidden="1" x14ac:dyDescent="0.25">
      <c r="A278" s="2" t="s">
        <v>866</v>
      </c>
      <c r="B278" s="2" t="s">
        <v>100</v>
      </c>
      <c r="C278" s="2" t="s">
        <v>51</v>
      </c>
      <c r="D278" s="2" t="s">
        <v>20</v>
      </c>
      <c r="E278" s="2">
        <v>22</v>
      </c>
      <c r="F278" s="2" t="s">
        <v>37</v>
      </c>
      <c r="G278" s="2" t="s">
        <v>31</v>
      </c>
      <c r="H278" s="2" t="s">
        <v>867</v>
      </c>
      <c r="I278" s="2">
        <v>79899</v>
      </c>
      <c r="J278" s="2" t="s">
        <v>71</v>
      </c>
      <c r="K278" s="2" t="s">
        <v>868</v>
      </c>
      <c r="L278" s="2" t="s">
        <v>42</v>
      </c>
      <c r="M278" s="2" t="str">
        <f>VLOOKUP(F278,Departments!$A$1:$C$6,2,0)</f>
        <v>Sales</v>
      </c>
      <c r="N278" s="2" t="str">
        <f>INDEX(Departments!$B$1:$B$6, MATCH(Employees!F278, Departments!$A$1:$A$6, 0))</f>
        <v>Sales</v>
      </c>
      <c r="O278" s="3" t="str">
        <f>INDEX(Departments!$B$2:$B$6,MATCH(Employees!F278,Departments!$A$2:$A$6,0))</f>
        <v>Sales</v>
      </c>
      <c r="P278" s="3">
        <f>INDEX(Performance!$C$2:$C$501,MATCH(Employees!A278,Performance!$A$2:$A$501,0))</f>
        <v>2</v>
      </c>
      <c r="Q278" s="4">
        <f t="shared" si="4"/>
        <v>3994.9500000000003</v>
      </c>
    </row>
    <row r="279" spans="1:17" hidden="1" x14ac:dyDescent="0.25">
      <c r="A279" s="2" t="s">
        <v>869</v>
      </c>
      <c r="B279" s="2" t="s">
        <v>55</v>
      </c>
      <c r="C279" s="2" t="s">
        <v>101</v>
      </c>
      <c r="D279" s="2" t="s">
        <v>20</v>
      </c>
      <c r="E279" s="2">
        <v>28</v>
      </c>
      <c r="F279" s="2" t="s">
        <v>21</v>
      </c>
      <c r="G279" s="2" t="s">
        <v>38</v>
      </c>
      <c r="H279" s="2" t="s">
        <v>870</v>
      </c>
      <c r="I279" s="2">
        <v>92548</v>
      </c>
      <c r="J279" s="2" t="s">
        <v>24</v>
      </c>
      <c r="K279" s="2" t="s">
        <v>871</v>
      </c>
      <c r="L279" s="2" t="s">
        <v>42</v>
      </c>
      <c r="M279" s="2" t="str">
        <f>VLOOKUP(F279,Departments!$A$1:$C$6,2,0)</f>
        <v>HR</v>
      </c>
      <c r="N279" s="2" t="str">
        <f>INDEX(Departments!$B$1:$B$6, MATCH(Employees!F279, Departments!$A$1:$A$6, 0))</f>
        <v>HR</v>
      </c>
      <c r="O279" s="3" t="str">
        <f>INDEX(Departments!$B$2:$B$6,MATCH(Employees!F279,Departments!$A$2:$A$6,0))</f>
        <v>HR</v>
      </c>
      <c r="P279" s="3">
        <f>INDEX(Performance!$C$2:$C$501,MATCH(Employees!A279,Performance!$A$2:$A$501,0))</f>
        <v>2</v>
      </c>
      <c r="Q279" s="4">
        <f t="shared" si="4"/>
        <v>4627.4000000000005</v>
      </c>
    </row>
    <row r="280" spans="1:17" hidden="1" x14ac:dyDescent="0.25">
      <c r="A280" s="2" t="s">
        <v>872</v>
      </c>
      <c r="B280" s="2" t="s">
        <v>44</v>
      </c>
      <c r="C280" s="2" t="s">
        <v>171</v>
      </c>
      <c r="D280" s="2" t="s">
        <v>20</v>
      </c>
      <c r="E280" s="2">
        <v>32</v>
      </c>
      <c r="F280" s="2" t="s">
        <v>21</v>
      </c>
      <c r="G280" s="2" t="s">
        <v>46</v>
      </c>
      <c r="H280" s="2" t="s">
        <v>873</v>
      </c>
      <c r="I280" s="2">
        <v>60558</v>
      </c>
      <c r="J280" s="2" t="s">
        <v>66</v>
      </c>
      <c r="K280" s="2" t="s">
        <v>874</v>
      </c>
      <c r="L280" s="2" t="s">
        <v>26</v>
      </c>
      <c r="M280" s="2" t="str">
        <f>VLOOKUP(F280,Departments!$A$1:$C$6,2,0)</f>
        <v>HR</v>
      </c>
      <c r="N280" s="2" t="str">
        <f>INDEX(Departments!$B$1:$B$6, MATCH(Employees!F280, Departments!$A$1:$A$6, 0))</f>
        <v>HR</v>
      </c>
      <c r="O280" s="3" t="str">
        <f>INDEX(Departments!$B$2:$B$6,MATCH(Employees!F280,Departments!$A$2:$A$6,0))</f>
        <v>HR</v>
      </c>
      <c r="P280" s="3">
        <f>INDEX(Performance!$C$2:$C$501,MATCH(Employees!A280,Performance!$A$2:$A$501,0))</f>
        <v>2</v>
      </c>
      <c r="Q280" s="4">
        <f t="shared" si="4"/>
        <v>3027.9</v>
      </c>
    </row>
    <row r="281" spans="1:17" hidden="1" x14ac:dyDescent="0.25">
      <c r="A281" s="2" t="s">
        <v>875</v>
      </c>
      <c r="B281" s="2" t="s">
        <v>55</v>
      </c>
      <c r="C281" s="2" t="s">
        <v>136</v>
      </c>
      <c r="D281" s="2" t="s">
        <v>20</v>
      </c>
      <c r="E281" s="2">
        <v>60</v>
      </c>
      <c r="F281" s="2" t="s">
        <v>30</v>
      </c>
      <c r="G281" s="2" t="s">
        <v>22</v>
      </c>
      <c r="H281" s="2" t="s">
        <v>876</v>
      </c>
      <c r="I281" s="2">
        <v>40802</v>
      </c>
      <c r="J281" s="2" t="s">
        <v>86</v>
      </c>
      <c r="K281" s="2" t="s">
        <v>877</v>
      </c>
      <c r="L281" s="2" t="s">
        <v>26</v>
      </c>
      <c r="M281" s="2" t="str">
        <f>VLOOKUP(F281,Departments!$A$1:$C$6,2,0)</f>
        <v>IT</v>
      </c>
      <c r="N281" s="2" t="str">
        <f>INDEX(Departments!$B$1:$B$6, MATCH(Employees!F281, Departments!$A$1:$A$6, 0))</f>
        <v>IT</v>
      </c>
      <c r="O281" s="3" t="str">
        <f>INDEX(Departments!$B$2:$B$6,MATCH(Employees!F281,Departments!$A$2:$A$6,0))</f>
        <v>IT</v>
      </c>
      <c r="P281" s="3">
        <f>INDEX(Performance!$C$2:$C$501,MATCH(Employees!A281,Performance!$A$2:$A$501,0))</f>
        <v>1</v>
      </c>
      <c r="Q281" s="4">
        <f t="shared" si="4"/>
        <v>2040.1000000000001</v>
      </c>
    </row>
    <row r="282" spans="1:17" hidden="1" x14ac:dyDescent="0.25">
      <c r="A282" s="2" t="s">
        <v>878</v>
      </c>
      <c r="B282" s="2" t="s">
        <v>149</v>
      </c>
      <c r="C282" s="2" t="s">
        <v>171</v>
      </c>
      <c r="D282" s="2" t="s">
        <v>29</v>
      </c>
      <c r="E282" s="2">
        <v>24</v>
      </c>
      <c r="F282" s="2" t="s">
        <v>45</v>
      </c>
      <c r="G282" s="2" t="s">
        <v>114</v>
      </c>
      <c r="H282" s="2" t="s">
        <v>879</v>
      </c>
      <c r="I282" s="2">
        <v>117454</v>
      </c>
      <c r="J282" s="2" t="s">
        <v>71</v>
      </c>
      <c r="K282" s="2" t="s">
        <v>880</v>
      </c>
      <c r="L282" s="2" t="s">
        <v>42</v>
      </c>
      <c r="M282" s="2" t="str">
        <f>VLOOKUP(F282,Departments!$A$1:$C$6,2,0)</f>
        <v>Marketing</v>
      </c>
      <c r="N282" s="2" t="str">
        <f>INDEX(Departments!$B$1:$B$6, MATCH(Employees!F282, Departments!$A$1:$A$6, 0))</f>
        <v>Marketing</v>
      </c>
      <c r="O282" s="3" t="str">
        <f>INDEX(Departments!$B$2:$B$6,MATCH(Employees!F282,Departments!$A$2:$A$6,0))</f>
        <v>Marketing</v>
      </c>
      <c r="P282" s="3">
        <f>INDEX(Performance!$C$2:$C$501,MATCH(Employees!A282,Performance!$A$2:$A$501,0))</f>
        <v>1</v>
      </c>
      <c r="Q282" s="4">
        <f t="shared" si="4"/>
        <v>5872.7000000000007</v>
      </c>
    </row>
    <row r="283" spans="1:17" hidden="1" x14ac:dyDescent="0.25">
      <c r="A283" s="2" t="s">
        <v>881</v>
      </c>
      <c r="B283" s="2" t="s">
        <v>149</v>
      </c>
      <c r="C283" s="2" t="s">
        <v>101</v>
      </c>
      <c r="D283" s="2" t="s">
        <v>29</v>
      </c>
      <c r="E283" s="2">
        <v>26</v>
      </c>
      <c r="F283" s="2" t="s">
        <v>37</v>
      </c>
      <c r="G283" s="2" t="s">
        <v>38</v>
      </c>
      <c r="H283" s="2" t="s">
        <v>882</v>
      </c>
      <c r="I283" s="2">
        <v>48830</v>
      </c>
      <c r="J283" s="2" t="s">
        <v>71</v>
      </c>
      <c r="K283" s="2" t="s">
        <v>883</v>
      </c>
      <c r="L283" s="2" t="s">
        <v>26</v>
      </c>
      <c r="M283" s="2" t="str">
        <f>VLOOKUP(F283,Departments!$A$1:$C$6,2,0)</f>
        <v>Sales</v>
      </c>
      <c r="N283" s="2" t="str">
        <f>INDEX(Departments!$B$1:$B$6, MATCH(Employees!F283, Departments!$A$1:$A$6, 0))</f>
        <v>Sales</v>
      </c>
      <c r="O283" s="3" t="str">
        <f>INDEX(Departments!$B$2:$B$6,MATCH(Employees!F283,Departments!$A$2:$A$6,0))</f>
        <v>Sales</v>
      </c>
      <c r="P283" s="3">
        <f>INDEX(Performance!$C$2:$C$501,MATCH(Employees!A283,Performance!$A$2:$A$501,0))</f>
        <v>1</v>
      </c>
      <c r="Q283" s="4">
        <f t="shared" si="4"/>
        <v>2441.5</v>
      </c>
    </row>
    <row r="284" spans="1:17" hidden="1" x14ac:dyDescent="0.25">
      <c r="A284" s="2" t="s">
        <v>884</v>
      </c>
      <c r="B284" s="2" t="s">
        <v>64</v>
      </c>
      <c r="C284" s="2" t="s">
        <v>28</v>
      </c>
      <c r="D284" s="2" t="s">
        <v>29</v>
      </c>
      <c r="E284" s="2">
        <v>36</v>
      </c>
      <c r="F284" s="2" t="s">
        <v>56</v>
      </c>
      <c r="G284" s="2" t="s">
        <v>22</v>
      </c>
      <c r="H284" s="2" t="s">
        <v>885</v>
      </c>
      <c r="I284" s="2">
        <v>45532</v>
      </c>
      <c r="J284" s="2" t="s">
        <v>86</v>
      </c>
      <c r="K284" s="2" t="s">
        <v>886</v>
      </c>
      <c r="L284" s="2" t="s">
        <v>42</v>
      </c>
      <c r="M284" s="2" t="str">
        <f>VLOOKUP(F284,Departments!$A$1:$C$6,2,0)</f>
        <v>Finance</v>
      </c>
      <c r="N284" s="2" t="str">
        <f>INDEX(Departments!$B$1:$B$6, MATCH(Employees!F284, Departments!$A$1:$A$6, 0))</f>
        <v>Finance</v>
      </c>
      <c r="O284" s="3" t="str">
        <f>INDEX(Departments!$B$2:$B$6,MATCH(Employees!F284,Departments!$A$2:$A$6,0))</f>
        <v>Finance</v>
      </c>
      <c r="P284" s="3">
        <f>INDEX(Performance!$C$2:$C$501,MATCH(Employees!A284,Performance!$A$2:$A$501,0))</f>
        <v>5</v>
      </c>
      <c r="Q284" s="4">
        <f t="shared" si="4"/>
        <v>6829.8</v>
      </c>
    </row>
    <row r="285" spans="1:17" hidden="1" x14ac:dyDescent="0.25">
      <c r="A285" s="2" t="s">
        <v>887</v>
      </c>
      <c r="B285" s="2" t="s">
        <v>50</v>
      </c>
      <c r="C285" s="2" t="s">
        <v>101</v>
      </c>
      <c r="D285" s="2" t="s">
        <v>29</v>
      </c>
      <c r="E285" s="2">
        <v>43</v>
      </c>
      <c r="F285" s="2" t="s">
        <v>45</v>
      </c>
      <c r="G285" s="2" t="s">
        <v>46</v>
      </c>
      <c r="H285" s="2" t="s">
        <v>222</v>
      </c>
      <c r="I285" s="2">
        <v>44771</v>
      </c>
      <c r="J285" s="2" t="s">
        <v>71</v>
      </c>
      <c r="K285" s="2" t="s">
        <v>888</v>
      </c>
      <c r="L285" s="2" t="s">
        <v>26</v>
      </c>
      <c r="M285" s="2" t="str">
        <f>VLOOKUP(F285,Departments!$A$1:$C$6,2,0)</f>
        <v>Marketing</v>
      </c>
      <c r="N285" s="2" t="str">
        <f>INDEX(Departments!$B$1:$B$6, MATCH(Employees!F285, Departments!$A$1:$A$6, 0))</f>
        <v>Marketing</v>
      </c>
      <c r="O285" s="3" t="str">
        <f>INDEX(Departments!$B$2:$B$6,MATCH(Employees!F285,Departments!$A$2:$A$6,0))</f>
        <v>Marketing</v>
      </c>
      <c r="P285" s="3">
        <f>INDEX(Performance!$C$2:$C$501,MATCH(Employees!A285,Performance!$A$2:$A$501,0))</f>
        <v>2</v>
      </c>
      <c r="Q285" s="4">
        <f t="shared" si="4"/>
        <v>2238.5500000000002</v>
      </c>
    </row>
    <row r="286" spans="1:17" hidden="1" x14ac:dyDescent="0.25">
      <c r="A286" s="2" t="s">
        <v>889</v>
      </c>
      <c r="B286" s="2" t="s">
        <v>60</v>
      </c>
      <c r="C286" s="2" t="s">
        <v>51</v>
      </c>
      <c r="D286" s="2" t="s">
        <v>20</v>
      </c>
      <c r="E286" s="2">
        <v>27</v>
      </c>
      <c r="F286" s="2" t="s">
        <v>45</v>
      </c>
      <c r="G286" s="2" t="s">
        <v>22</v>
      </c>
      <c r="H286" s="2" t="s">
        <v>890</v>
      </c>
      <c r="I286" s="2">
        <v>46998</v>
      </c>
      <c r="J286" s="2" t="s">
        <v>66</v>
      </c>
      <c r="K286" s="2" t="s">
        <v>891</v>
      </c>
      <c r="L286" s="2" t="s">
        <v>42</v>
      </c>
      <c r="M286" s="2" t="str">
        <f>VLOOKUP(F286,Departments!$A$1:$C$6,2,0)</f>
        <v>Marketing</v>
      </c>
      <c r="N286" s="2" t="str">
        <f>INDEX(Departments!$B$1:$B$6, MATCH(Employees!F286, Departments!$A$1:$A$6, 0))</f>
        <v>Marketing</v>
      </c>
      <c r="O286" s="3" t="str">
        <f>INDEX(Departments!$B$2:$B$6,MATCH(Employees!F286,Departments!$A$2:$A$6,0))</f>
        <v>Marketing</v>
      </c>
      <c r="P286" s="3">
        <f>INDEX(Performance!$C$2:$C$501,MATCH(Employees!A286,Performance!$A$2:$A$501,0))</f>
        <v>3</v>
      </c>
      <c r="Q286" s="4">
        <f t="shared" si="4"/>
        <v>3289.86</v>
      </c>
    </row>
    <row r="287" spans="1:17" hidden="1" x14ac:dyDescent="0.25">
      <c r="A287" s="2" t="s">
        <v>892</v>
      </c>
      <c r="B287" s="2" t="s">
        <v>77</v>
      </c>
      <c r="C287" s="2" t="s">
        <v>51</v>
      </c>
      <c r="D287" s="2" t="s">
        <v>20</v>
      </c>
      <c r="E287" s="2">
        <v>47</v>
      </c>
      <c r="F287" s="2" t="s">
        <v>37</v>
      </c>
      <c r="G287" s="2" t="s">
        <v>31</v>
      </c>
      <c r="H287" s="2" t="s">
        <v>893</v>
      </c>
      <c r="I287" s="2">
        <v>106837</v>
      </c>
      <c r="J287" s="2" t="s">
        <v>86</v>
      </c>
      <c r="K287" s="2" t="s">
        <v>894</v>
      </c>
      <c r="L287" s="2" t="s">
        <v>42</v>
      </c>
      <c r="M287" s="2" t="str">
        <f>VLOOKUP(F287,Departments!$A$1:$C$6,2,0)</f>
        <v>Sales</v>
      </c>
      <c r="N287" s="2" t="str">
        <f>INDEX(Departments!$B$1:$B$6, MATCH(Employees!F287, Departments!$A$1:$A$6, 0))</f>
        <v>Sales</v>
      </c>
      <c r="O287" s="3" t="str">
        <f>INDEX(Departments!$B$2:$B$6,MATCH(Employees!F287,Departments!$A$2:$A$6,0))</f>
        <v>Sales</v>
      </c>
      <c r="P287" s="3">
        <f>INDEX(Performance!$C$2:$C$501,MATCH(Employees!A287,Performance!$A$2:$A$501,0))</f>
        <v>3</v>
      </c>
      <c r="Q287" s="4">
        <f t="shared" si="4"/>
        <v>7478.5900000000011</v>
      </c>
    </row>
    <row r="288" spans="1:17" hidden="1" x14ac:dyDescent="0.25">
      <c r="A288" s="2" t="s">
        <v>895</v>
      </c>
      <c r="B288" s="2" t="s">
        <v>64</v>
      </c>
      <c r="C288" s="2" t="s">
        <v>136</v>
      </c>
      <c r="D288" s="2" t="s">
        <v>20</v>
      </c>
      <c r="E288" s="2">
        <v>52</v>
      </c>
      <c r="F288" s="2" t="s">
        <v>37</v>
      </c>
      <c r="G288" s="2" t="s">
        <v>114</v>
      </c>
      <c r="H288" s="2" t="s">
        <v>896</v>
      </c>
      <c r="I288" s="2">
        <v>97878</v>
      </c>
      <c r="J288" s="2" t="s">
        <v>71</v>
      </c>
      <c r="K288" s="2" t="s">
        <v>897</v>
      </c>
      <c r="L288" s="2" t="s">
        <v>42</v>
      </c>
      <c r="M288" s="2" t="str">
        <f>VLOOKUP(F288,Departments!$A$1:$C$6,2,0)</f>
        <v>Sales</v>
      </c>
      <c r="N288" s="2" t="str">
        <f>INDEX(Departments!$B$1:$B$6, MATCH(Employees!F288, Departments!$A$1:$A$6, 0))</f>
        <v>Sales</v>
      </c>
      <c r="O288" s="3" t="str">
        <f>INDEX(Departments!$B$2:$B$6,MATCH(Employees!F288,Departments!$A$2:$A$6,0))</f>
        <v>Sales</v>
      </c>
      <c r="P288" s="3">
        <f>INDEX(Performance!$C$2:$C$501,MATCH(Employees!A288,Performance!$A$2:$A$501,0))</f>
        <v>1</v>
      </c>
      <c r="Q288" s="4">
        <f t="shared" si="4"/>
        <v>4893.9000000000005</v>
      </c>
    </row>
    <row r="289" spans="1:17" hidden="1" x14ac:dyDescent="0.25">
      <c r="A289" s="2" t="s">
        <v>898</v>
      </c>
      <c r="B289" s="2" t="s">
        <v>60</v>
      </c>
      <c r="C289" s="2" t="s">
        <v>101</v>
      </c>
      <c r="D289" s="2" t="s">
        <v>20</v>
      </c>
      <c r="E289" s="2">
        <v>52</v>
      </c>
      <c r="F289" s="2" t="s">
        <v>37</v>
      </c>
      <c r="G289" s="2" t="s">
        <v>114</v>
      </c>
      <c r="H289" s="2" t="s">
        <v>899</v>
      </c>
      <c r="I289" s="2">
        <v>42401</v>
      </c>
      <c r="J289" s="2" t="s">
        <v>71</v>
      </c>
      <c r="K289" s="2" t="s">
        <v>900</v>
      </c>
      <c r="L289" s="2" t="s">
        <v>42</v>
      </c>
      <c r="M289" s="2" t="str">
        <f>VLOOKUP(F289,Departments!$A$1:$C$6,2,0)</f>
        <v>Sales</v>
      </c>
      <c r="N289" s="2" t="str">
        <f>INDEX(Departments!$B$1:$B$6, MATCH(Employees!F289, Departments!$A$1:$A$6, 0))</f>
        <v>Sales</v>
      </c>
      <c r="O289" s="3" t="str">
        <f>INDEX(Departments!$B$2:$B$6,MATCH(Employees!F289,Departments!$A$2:$A$6,0))</f>
        <v>Sales</v>
      </c>
      <c r="P289" s="3">
        <f>INDEX(Performance!$C$2:$C$501,MATCH(Employees!A289,Performance!$A$2:$A$501,0))</f>
        <v>4</v>
      </c>
      <c r="Q289" s="4">
        <f t="shared" si="4"/>
        <v>4240.1000000000004</v>
      </c>
    </row>
    <row r="290" spans="1:17" hidden="1" x14ac:dyDescent="0.25">
      <c r="A290" s="2" t="s">
        <v>901</v>
      </c>
      <c r="B290" s="2" t="s">
        <v>55</v>
      </c>
      <c r="C290" s="2" t="s">
        <v>171</v>
      </c>
      <c r="D290" s="2" t="s">
        <v>20</v>
      </c>
      <c r="E290" s="2">
        <v>59</v>
      </c>
      <c r="F290" s="2" t="s">
        <v>37</v>
      </c>
      <c r="G290" s="2" t="s">
        <v>31</v>
      </c>
      <c r="H290" s="2" t="s">
        <v>902</v>
      </c>
      <c r="I290" s="2">
        <v>88760</v>
      </c>
      <c r="J290" s="2" t="s">
        <v>24</v>
      </c>
      <c r="K290" s="2" t="s">
        <v>903</v>
      </c>
      <c r="L290" s="2" t="s">
        <v>26</v>
      </c>
      <c r="M290" s="2" t="str">
        <f>VLOOKUP(F290,Departments!$A$1:$C$6,2,0)</f>
        <v>Sales</v>
      </c>
      <c r="N290" s="2" t="str">
        <f>INDEX(Departments!$B$1:$B$6, MATCH(Employees!F290, Departments!$A$1:$A$6, 0))</f>
        <v>Sales</v>
      </c>
      <c r="O290" s="3" t="str">
        <f>INDEX(Departments!$B$2:$B$6,MATCH(Employees!F290,Departments!$A$2:$A$6,0))</f>
        <v>Sales</v>
      </c>
      <c r="P290" s="3">
        <f>INDEX(Performance!$C$2:$C$501,MATCH(Employees!A290,Performance!$A$2:$A$501,0))</f>
        <v>1</v>
      </c>
      <c r="Q290" s="4">
        <f t="shared" si="4"/>
        <v>4438</v>
      </c>
    </row>
    <row r="291" spans="1:17" hidden="1" x14ac:dyDescent="0.25">
      <c r="A291" s="2" t="s">
        <v>904</v>
      </c>
      <c r="B291" s="2" t="s">
        <v>100</v>
      </c>
      <c r="C291" s="2" t="s">
        <v>69</v>
      </c>
      <c r="D291" s="2" t="s">
        <v>29</v>
      </c>
      <c r="E291" s="2">
        <v>43</v>
      </c>
      <c r="F291" s="2" t="s">
        <v>45</v>
      </c>
      <c r="G291" s="2" t="s">
        <v>22</v>
      </c>
      <c r="H291" s="2" t="s">
        <v>905</v>
      </c>
      <c r="I291" s="2">
        <v>55436</v>
      </c>
      <c r="J291" s="2" t="s">
        <v>86</v>
      </c>
      <c r="K291" s="2" t="s">
        <v>906</v>
      </c>
      <c r="L291" s="2" t="s">
        <v>26</v>
      </c>
      <c r="M291" s="2" t="str">
        <f>VLOOKUP(F291,Departments!$A$1:$C$6,2,0)</f>
        <v>Marketing</v>
      </c>
      <c r="N291" s="2" t="str">
        <f>INDEX(Departments!$B$1:$B$6, MATCH(Employees!F291, Departments!$A$1:$A$6, 0))</f>
        <v>Marketing</v>
      </c>
      <c r="O291" s="3" t="str">
        <f>INDEX(Departments!$B$2:$B$6,MATCH(Employees!F291,Departments!$A$2:$A$6,0))</f>
        <v>Marketing</v>
      </c>
      <c r="P291" s="3">
        <f>INDEX(Performance!$C$2:$C$501,MATCH(Employees!A291,Performance!$A$2:$A$501,0))</f>
        <v>5</v>
      </c>
      <c r="Q291" s="4">
        <f t="shared" si="4"/>
        <v>8315.4</v>
      </c>
    </row>
    <row r="292" spans="1:17" hidden="1" x14ac:dyDescent="0.25">
      <c r="A292" s="2" t="s">
        <v>907</v>
      </c>
      <c r="B292" s="2" t="s">
        <v>64</v>
      </c>
      <c r="C292" s="2" t="s">
        <v>51</v>
      </c>
      <c r="D292" s="2" t="s">
        <v>20</v>
      </c>
      <c r="E292" s="2">
        <v>55</v>
      </c>
      <c r="F292" s="2" t="s">
        <v>37</v>
      </c>
      <c r="G292" s="2" t="s">
        <v>114</v>
      </c>
      <c r="H292" s="2" t="s">
        <v>908</v>
      </c>
      <c r="I292" s="2">
        <v>84404</v>
      </c>
      <c r="J292" s="2" t="s">
        <v>24</v>
      </c>
      <c r="K292" s="2" t="s">
        <v>909</v>
      </c>
      <c r="L292" s="2" t="s">
        <v>42</v>
      </c>
      <c r="M292" s="2" t="str">
        <f>VLOOKUP(F292,Departments!$A$1:$C$6,2,0)</f>
        <v>Sales</v>
      </c>
      <c r="N292" s="2" t="str">
        <f>INDEX(Departments!$B$1:$B$6, MATCH(Employees!F292, Departments!$A$1:$A$6, 0))</f>
        <v>Sales</v>
      </c>
      <c r="O292" s="3" t="str">
        <f>INDEX(Departments!$B$2:$B$6,MATCH(Employees!F292,Departments!$A$2:$A$6,0))</f>
        <v>Sales</v>
      </c>
      <c r="P292" s="3">
        <f>INDEX(Performance!$C$2:$C$501,MATCH(Employees!A292,Performance!$A$2:$A$501,0))</f>
        <v>3</v>
      </c>
      <c r="Q292" s="4">
        <f t="shared" si="4"/>
        <v>5908.2800000000007</v>
      </c>
    </row>
    <row r="293" spans="1:17" hidden="1" x14ac:dyDescent="0.25">
      <c r="A293" s="2" t="s">
        <v>910</v>
      </c>
      <c r="B293" s="2" t="s">
        <v>149</v>
      </c>
      <c r="C293" s="2" t="s">
        <v>136</v>
      </c>
      <c r="D293" s="2" t="s">
        <v>29</v>
      </c>
      <c r="E293" s="2">
        <v>24</v>
      </c>
      <c r="F293" s="2" t="s">
        <v>45</v>
      </c>
      <c r="G293" s="2" t="s">
        <v>31</v>
      </c>
      <c r="H293" s="2" t="s">
        <v>911</v>
      </c>
      <c r="I293" s="2">
        <v>83157</v>
      </c>
      <c r="J293" s="2" t="s">
        <v>24</v>
      </c>
      <c r="K293" s="2" t="s">
        <v>912</v>
      </c>
      <c r="L293" s="2" t="s">
        <v>42</v>
      </c>
      <c r="M293" s="2" t="str">
        <f>VLOOKUP(F293,Departments!$A$1:$C$6,2,0)</f>
        <v>Marketing</v>
      </c>
      <c r="N293" s="2" t="str">
        <f>INDEX(Departments!$B$1:$B$6, MATCH(Employees!F293, Departments!$A$1:$A$6, 0))</f>
        <v>Marketing</v>
      </c>
      <c r="O293" s="3" t="str">
        <f>INDEX(Departments!$B$2:$B$6,MATCH(Employees!F293,Departments!$A$2:$A$6,0))</f>
        <v>Marketing</v>
      </c>
      <c r="P293" s="3">
        <f>INDEX(Performance!$C$2:$C$501,MATCH(Employees!A293,Performance!$A$2:$A$501,0))</f>
        <v>3</v>
      </c>
      <c r="Q293" s="4">
        <f t="shared" si="4"/>
        <v>5820.9900000000007</v>
      </c>
    </row>
    <row r="294" spans="1:17" hidden="1" x14ac:dyDescent="0.25">
      <c r="A294" s="2" t="s">
        <v>913</v>
      </c>
      <c r="B294" s="2" t="s">
        <v>44</v>
      </c>
      <c r="C294" s="2" t="s">
        <v>51</v>
      </c>
      <c r="D294" s="2" t="s">
        <v>29</v>
      </c>
      <c r="E294" s="2">
        <v>50</v>
      </c>
      <c r="F294" s="2" t="s">
        <v>37</v>
      </c>
      <c r="G294" s="2" t="s">
        <v>31</v>
      </c>
      <c r="H294" s="2" t="s">
        <v>914</v>
      </c>
      <c r="I294" s="2">
        <v>49330</v>
      </c>
      <c r="J294" s="2" t="s">
        <v>71</v>
      </c>
      <c r="K294" s="2" t="s">
        <v>915</v>
      </c>
      <c r="L294" s="2" t="s">
        <v>26</v>
      </c>
      <c r="M294" s="2" t="str">
        <f>VLOOKUP(F294,Departments!$A$1:$C$6,2,0)</f>
        <v>Sales</v>
      </c>
      <c r="N294" s="2" t="str">
        <f>INDEX(Departments!$B$1:$B$6, MATCH(Employees!F294, Departments!$A$1:$A$6, 0))</f>
        <v>Sales</v>
      </c>
      <c r="O294" s="3" t="str">
        <f>INDEX(Departments!$B$2:$B$6,MATCH(Employees!F294,Departments!$A$2:$A$6,0))</f>
        <v>Sales</v>
      </c>
      <c r="P294" s="3">
        <f>INDEX(Performance!$C$2:$C$501,MATCH(Employees!A294,Performance!$A$2:$A$501,0))</f>
        <v>5</v>
      </c>
      <c r="Q294" s="4">
        <f t="shared" si="4"/>
        <v>7399.5</v>
      </c>
    </row>
    <row r="295" spans="1:17" hidden="1" x14ac:dyDescent="0.25">
      <c r="A295" s="2" t="s">
        <v>916</v>
      </c>
      <c r="B295" s="2" t="s">
        <v>18</v>
      </c>
      <c r="C295" s="2" t="s">
        <v>51</v>
      </c>
      <c r="D295" s="2" t="s">
        <v>29</v>
      </c>
      <c r="E295" s="2">
        <v>40</v>
      </c>
      <c r="F295" s="2" t="s">
        <v>30</v>
      </c>
      <c r="G295" s="2" t="s">
        <v>46</v>
      </c>
      <c r="H295" s="2" t="s">
        <v>917</v>
      </c>
      <c r="I295" s="2">
        <v>89213</v>
      </c>
      <c r="J295" s="2" t="s">
        <v>40</v>
      </c>
      <c r="K295" s="2" t="s">
        <v>918</v>
      </c>
      <c r="L295" s="2" t="s">
        <v>26</v>
      </c>
      <c r="M295" s="2" t="str">
        <f>VLOOKUP(F295,Departments!$A$1:$C$6,2,0)</f>
        <v>IT</v>
      </c>
      <c r="N295" s="2" t="str">
        <f>INDEX(Departments!$B$1:$B$6, MATCH(Employees!F295, Departments!$A$1:$A$6, 0))</f>
        <v>IT</v>
      </c>
      <c r="O295" s="3" t="str">
        <f>INDEX(Departments!$B$2:$B$6,MATCH(Employees!F295,Departments!$A$2:$A$6,0))</f>
        <v>IT</v>
      </c>
      <c r="P295" s="3">
        <f>INDEX(Performance!$C$2:$C$501,MATCH(Employees!A295,Performance!$A$2:$A$501,0))</f>
        <v>3</v>
      </c>
      <c r="Q295" s="4">
        <f t="shared" si="4"/>
        <v>6244.9100000000008</v>
      </c>
    </row>
    <row r="296" spans="1:17" hidden="1" x14ac:dyDescent="0.25">
      <c r="A296" s="2" t="s">
        <v>919</v>
      </c>
      <c r="B296" s="2" t="s">
        <v>149</v>
      </c>
      <c r="C296" s="2" t="s">
        <v>69</v>
      </c>
      <c r="D296" s="2" t="s">
        <v>29</v>
      </c>
      <c r="E296" s="2">
        <v>29</v>
      </c>
      <c r="F296" s="2" t="s">
        <v>21</v>
      </c>
      <c r="G296" s="2" t="s">
        <v>38</v>
      </c>
      <c r="H296" s="2" t="s">
        <v>920</v>
      </c>
      <c r="I296" s="2">
        <v>75306</v>
      </c>
      <c r="J296" s="2" t="s">
        <v>71</v>
      </c>
      <c r="K296" s="2" t="s">
        <v>921</v>
      </c>
      <c r="L296" s="2" t="s">
        <v>42</v>
      </c>
      <c r="M296" s="2" t="str">
        <f>VLOOKUP(F296,Departments!$A$1:$C$6,2,0)</f>
        <v>HR</v>
      </c>
      <c r="N296" s="2" t="str">
        <f>INDEX(Departments!$B$1:$B$6, MATCH(Employees!F296, Departments!$A$1:$A$6, 0))</f>
        <v>HR</v>
      </c>
      <c r="O296" s="3" t="str">
        <f>INDEX(Departments!$B$2:$B$6,MATCH(Employees!F296,Departments!$A$2:$A$6,0))</f>
        <v>HR</v>
      </c>
      <c r="P296" s="3">
        <f>INDEX(Performance!$C$2:$C$501,MATCH(Employees!A296,Performance!$A$2:$A$501,0))</f>
        <v>3</v>
      </c>
      <c r="Q296" s="4">
        <f t="shared" si="4"/>
        <v>5271.42</v>
      </c>
    </row>
    <row r="297" spans="1:17" hidden="1" x14ac:dyDescent="0.25">
      <c r="A297" s="2" t="s">
        <v>922</v>
      </c>
      <c r="B297" s="2" t="s">
        <v>36</v>
      </c>
      <c r="C297" s="2" t="s">
        <v>101</v>
      </c>
      <c r="D297" s="2" t="s">
        <v>20</v>
      </c>
      <c r="E297" s="2">
        <v>33</v>
      </c>
      <c r="F297" s="2" t="s">
        <v>30</v>
      </c>
      <c r="G297" s="2" t="s">
        <v>31</v>
      </c>
      <c r="H297" s="2" t="s">
        <v>923</v>
      </c>
      <c r="I297" s="2">
        <v>88151</v>
      </c>
      <c r="J297" s="2" t="s">
        <v>86</v>
      </c>
      <c r="K297" s="2" t="s">
        <v>924</v>
      </c>
      <c r="L297" s="2" t="s">
        <v>42</v>
      </c>
      <c r="M297" s="2" t="str">
        <f>VLOOKUP(F297,Departments!$A$1:$C$6,2,0)</f>
        <v>IT</v>
      </c>
      <c r="N297" s="2" t="str">
        <f>INDEX(Departments!$B$1:$B$6, MATCH(Employees!F297, Departments!$A$1:$A$6, 0))</f>
        <v>IT</v>
      </c>
      <c r="O297" s="3" t="str">
        <f>INDEX(Departments!$B$2:$B$6,MATCH(Employees!F297,Departments!$A$2:$A$6,0))</f>
        <v>IT</v>
      </c>
      <c r="P297" s="3">
        <f>INDEX(Performance!$C$2:$C$501,MATCH(Employees!A297,Performance!$A$2:$A$501,0))</f>
        <v>3</v>
      </c>
      <c r="Q297" s="4">
        <f t="shared" si="4"/>
        <v>6170.5700000000006</v>
      </c>
    </row>
    <row r="298" spans="1:17" hidden="1" x14ac:dyDescent="0.25">
      <c r="A298" s="2" t="s">
        <v>925</v>
      </c>
      <c r="B298" s="2" t="s">
        <v>18</v>
      </c>
      <c r="C298" s="2" t="s">
        <v>84</v>
      </c>
      <c r="D298" s="2" t="s">
        <v>29</v>
      </c>
      <c r="E298" s="2">
        <v>36</v>
      </c>
      <c r="F298" s="2" t="s">
        <v>37</v>
      </c>
      <c r="G298" s="2" t="s">
        <v>38</v>
      </c>
      <c r="H298" s="2" t="s">
        <v>926</v>
      </c>
      <c r="I298" s="2">
        <v>112274</v>
      </c>
      <c r="J298" s="2" t="s">
        <v>66</v>
      </c>
      <c r="K298" s="2" t="s">
        <v>927</v>
      </c>
      <c r="L298" s="2" t="s">
        <v>42</v>
      </c>
      <c r="M298" s="2" t="str">
        <f>VLOOKUP(F298,Departments!$A$1:$C$6,2,0)</f>
        <v>Sales</v>
      </c>
      <c r="N298" s="2" t="str">
        <f>INDEX(Departments!$B$1:$B$6, MATCH(Employees!F298, Departments!$A$1:$A$6, 0))</f>
        <v>Sales</v>
      </c>
      <c r="O298" s="3" t="str">
        <f>INDEX(Departments!$B$2:$B$6,MATCH(Employees!F298,Departments!$A$2:$A$6,0))</f>
        <v>Sales</v>
      </c>
      <c r="P298" s="3">
        <f>INDEX(Performance!$C$2:$C$501,MATCH(Employees!A298,Performance!$A$2:$A$501,0))</f>
        <v>3</v>
      </c>
      <c r="Q298" s="4">
        <f t="shared" si="4"/>
        <v>7859.1800000000012</v>
      </c>
    </row>
    <row r="299" spans="1:17" hidden="1" x14ac:dyDescent="0.25">
      <c r="A299" s="2" t="s">
        <v>928</v>
      </c>
      <c r="B299" s="2" t="s">
        <v>77</v>
      </c>
      <c r="C299" s="2" t="s">
        <v>19</v>
      </c>
      <c r="D299" s="2" t="s">
        <v>20</v>
      </c>
      <c r="E299" s="2">
        <v>39</v>
      </c>
      <c r="F299" s="2" t="s">
        <v>21</v>
      </c>
      <c r="G299" s="2" t="s">
        <v>46</v>
      </c>
      <c r="H299" s="2" t="s">
        <v>929</v>
      </c>
      <c r="I299" s="2">
        <v>55507</v>
      </c>
      <c r="J299" s="2" t="s">
        <v>86</v>
      </c>
      <c r="K299" s="2" t="s">
        <v>930</v>
      </c>
      <c r="L299" s="2" t="s">
        <v>26</v>
      </c>
      <c r="M299" s="2" t="str">
        <f>VLOOKUP(F299,Departments!$A$1:$C$6,2,0)</f>
        <v>HR</v>
      </c>
      <c r="N299" s="2" t="str">
        <f>INDEX(Departments!$B$1:$B$6, MATCH(Employees!F299, Departments!$A$1:$A$6, 0))</f>
        <v>HR</v>
      </c>
      <c r="O299" s="3" t="str">
        <f>INDEX(Departments!$B$2:$B$6,MATCH(Employees!F299,Departments!$A$2:$A$6,0))</f>
        <v>HR</v>
      </c>
      <c r="P299" s="3">
        <f>INDEX(Performance!$C$2:$C$501,MATCH(Employees!A299,Performance!$A$2:$A$501,0))</f>
        <v>3</v>
      </c>
      <c r="Q299" s="4">
        <f t="shared" si="4"/>
        <v>3885.4900000000002</v>
      </c>
    </row>
    <row r="300" spans="1:17" hidden="1" x14ac:dyDescent="0.25">
      <c r="A300" s="2" t="s">
        <v>931</v>
      </c>
      <c r="B300" s="2" t="s">
        <v>36</v>
      </c>
      <c r="C300" s="2" t="s">
        <v>101</v>
      </c>
      <c r="D300" s="2" t="s">
        <v>20</v>
      </c>
      <c r="E300" s="2">
        <v>24</v>
      </c>
      <c r="F300" s="2" t="s">
        <v>56</v>
      </c>
      <c r="G300" s="2" t="s">
        <v>22</v>
      </c>
      <c r="H300" s="2" t="s">
        <v>932</v>
      </c>
      <c r="I300" s="2">
        <v>66638</v>
      </c>
      <c r="J300" s="2" t="s">
        <v>71</v>
      </c>
      <c r="K300" s="2" t="s">
        <v>933</v>
      </c>
      <c r="L300" s="2" t="s">
        <v>26</v>
      </c>
      <c r="M300" s="2" t="str">
        <f>VLOOKUP(F300,Departments!$A$1:$C$6,2,0)</f>
        <v>Finance</v>
      </c>
      <c r="N300" s="2" t="str">
        <f>INDEX(Departments!$B$1:$B$6, MATCH(Employees!F300, Departments!$A$1:$A$6, 0))</f>
        <v>Finance</v>
      </c>
      <c r="O300" s="3" t="str">
        <f>INDEX(Departments!$B$2:$B$6,MATCH(Employees!F300,Departments!$A$2:$A$6,0))</f>
        <v>Finance</v>
      </c>
      <c r="P300" s="3">
        <f>INDEX(Performance!$C$2:$C$501,MATCH(Employees!A300,Performance!$A$2:$A$501,0))</f>
        <v>5</v>
      </c>
      <c r="Q300" s="4">
        <f t="shared" si="4"/>
        <v>9995.6999999999989</v>
      </c>
    </row>
    <row r="301" spans="1:17" hidden="1" x14ac:dyDescent="0.25">
      <c r="A301" s="2" t="s">
        <v>934</v>
      </c>
      <c r="B301" s="2" t="s">
        <v>50</v>
      </c>
      <c r="C301" s="2" t="s">
        <v>84</v>
      </c>
      <c r="D301" s="2" t="s">
        <v>20</v>
      </c>
      <c r="E301" s="2">
        <v>51</v>
      </c>
      <c r="F301" s="2" t="s">
        <v>21</v>
      </c>
      <c r="G301" s="2" t="s">
        <v>114</v>
      </c>
      <c r="H301" s="2" t="s">
        <v>935</v>
      </c>
      <c r="I301" s="2">
        <v>43356</v>
      </c>
      <c r="J301" s="2" t="s">
        <v>71</v>
      </c>
      <c r="K301" s="2" t="s">
        <v>936</v>
      </c>
      <c r="L301" s="2" t="s">
        <v>26</v>
      </c>
      <c r="M301" s="2" t="str">
        <f>VLOOKUP(F301,Departments!$A$1:$C$6,2,0)</f>
        <v>HR</v>
      </c>
      <c r="N301" s="2" t="str">
        <f>INDEX(Departments!$B$1:$B$6, MATCH(Employees!F301, Departments!$A$1:$A$6, 0))</f>
        <v>HR</v>
      </c>
      <c r="O301" s="3" t="str">
        <f>INDEX(Departments!$B$2:$B$6,MATCH(Employees!F301,Departments!$A$2:$A$6,0))</f>
        <v>HR</v>
      </c>
      <c r="P301" s="3">
        <f>INDEX(Performance!$C$2:$C$501,MATCH(Employees!A301,Performance!$A$2:$A$501,0))</f>
        <v>1</v>
      </c>
      <c r="Q301" s="4">
        <f t="shared" si="4"/>
        <v>2167.8000000000002</v>
      </c>
    </row>
    <row r="302" spans="1:17" hidden="1" x14ac:dyDescent="0.25">
      <c r="A302" s="2" t="s">
        <v>937</v>
      </c>
      <c r="B302" s="2" t="s">
        <v>44</v>
      </c>
      <c r="C302" s="2" t="s">
        <v>136</v>
      </c>
      <c r="D302" s="2" t="s">
        <v>20</v>
      </c>
      <c r="E302" s="2">
        <v>44</v>
      </c>
      <c r="F302" s="2" t="s">
        <v>37</v>
      </c>
      <c r="G302" s="2" t="s">
        <v>46</v>
      </c>
      <c r="H302" s="2" t="s">
        <v>938</v>
      </c>
      <c r="I302" s="2">
        <v>82425</v>
      </c>
      <c r="J302" s="2" t="s">
        <v>86</v>
      </c>
      <c r="K302" s="2" t="s">
        <v>939</v>
      </c>
      <c r="L302" s="2" t="s">
        <v>26</v>
      </c>
      <c r="M302" s="2" t="str">
        <f>VLOOKUP(F302,Departments!$A$1:$C$6,2,0)</f>
        <v>Sales</v>
      </c>
      <c r="N302" s="2" t="str">
        <f>INDEX(Departments!$B$1:$B$6, MATCH(Employees!F302, Departments!$A$1:$A$6, 0))</f>
        <v>Sales</v>
      </c>
      <c r="O302" s="3" t="str">
        <f>INDEX(Departments!$B$2:$B$6,MATCH(Employees!F302,Departments!$A$2:$A$6,0))</f>
        <v>Sales</v>
      </c>
      <c r="P302" s="3">
        <f>INDEX(Performance!$C$2:$C$501,MATCH(Employees!A302,Performance!$A$2:$A$501,0))</f>
        <v>4</v>
      </c>
      <c r="Q302" s="4">
        <f t="shared" si="4"/>
        <v>8242.5</v>
      </c>
    </row>
    <row r="303" spans="1:17" hidden="1" x14ac:dyDescent="0.25">
      <c r="A303" s="2" t="s">
        <v>940</v>
      </c>
      <c r="B303" s="2" t="s">
        <v>50</v>
      </c>
      <c r="C303" s="2" t="s">
        <v>28</v>
      </c>
      <c r="D303" s="2" t="s">
        <v>20</v>
      </c>
      <c r="E303" s="2">
        <v>23</v>
      </c>
      <c r="F303" s="2" t="s">
        <v>45</v>
      </c>
      <c r="G303" s="2" t="s">
        <v>46</v>
      </c>
      <c r="H303" s="2" t="s">
        <v>421</v>
      </c>
      <c r="I303" s="2">
        <v>79670</v>
      </c>
      <c r="J303" s="2" t="s">
        <v>86</v>
      </c>
      <c r="K303" s="2" t="s">
        <v>941</v>
      </c>
      <c r="L303" s="2" t="s">
        <v>42</v>
      </c>
      <c r="M303" s="2" t="str">
        <f>VLOOKUP(F303,Departments!$A$1:$C$6,2,0)</f>
        <v>Marketing</v>
      </c>
      <c r="N303" s="2" t="str">
        <f>INDEX(Departments!$B$1:$B$6, MATCH(Employees!F303, Departments!$A$1:$A$6, 0))</f>
        <v>Marketing</v>
      </c>
      <c r="O303" s="3" t="str">
        <f>INDEX(Departments!$B$2:$B$6,MATCH(Employees!F303,Departments!$A$2:$A$6,0))</f>
        <v>Marketing</v>
      </c>
      <c r="P303" s="3">
        <f>INDEX(Performance!$C$2:$C$501,MATCH(Employees!A303,Performance!$A$2:$A$501,0))</f>
        <v>2</v>
      </c>
      <c r="Q303" s="4">
        <f t="shared" si="4"/>
        <v>3983.5</v>
      </c>
    </row>
    <row r="304" spans="1:17" hidden="1" x14ac:dyDescent="0.25">
      <c r="A304" s="2" t="s">
        <v>942</v>
      </c>
      <c r="B304" s="2" t="s">
        <v>18</v>
      </c>
      <c r="C304" s="2" t="s">
        <v>19</v>
      </c>
      <c r="D304" s="2" t="s">
        <v>29</v>
      </c>
      <c r="E304" s="2">
        <v>58</v>
      </c>
      <c r="F304" s="2" t="s">
        <v>56</v>
      </c>
      <c r="G304" s="2" t="s">
        <v>38</v>
      </c>
      <c r="H304" s="2" t="s">
        <v>943</v>
      </c>
      <c r="I304" s="2">
        <v>85427</v>
      </c>
      <c r="J304" s="2" t="s">
        <v>71</v>
      </c>
      <c r="K304" s="2" t="s">
        <v>944</v>
      </c>
      <c r="L304" s="2" t="s">
        <v>42</v>
      </c>
      <c r="M304" s="2" t="str">
        <f>VLOOKUP(F304,Departments!$A$1:$C$6,2,0)</f>
        <v>Finance</v>
      </c>
      <c r="N304" s="2" t="str">
        <f>INDEX(Departments!$B$1:$B$6, MATCH(Employees!F304, Departments!$A$1:$A$6, 0))</f>
        <v>Finance</v>
      </c>
      <c r="O304" s="3" t="str">
        <f>INDEX(Departments!$B$2:$B$6,MATCH(Employees!F304,Departments!$A$2:$A$6,0))</f>
        <v>Finance</v>
      </c>
      <c r="P304" s="3">
        <f>INDEX(Performance!$C$2:$C$501,MATCH(Employees!A304,Performance!$A$2:$A$501,0))</f>
        <v>1</v>
      </c>
      <c r="Q304" s="4">
        <f t="shared" si="4"/>
        <v>4271.3500000000004</v>
      </c>
    </row>
    <row r="305" spans="1:17" hidden="1" x14ac:dyDescent="0.25">
      <c r="A305" s="2" t="s">
        <v>945</v>
      </c>
      <c r="B305" s="2" t="s">
        <v>149</v>
      </c>
      <c r="C305" s="2" t="s">
        <v>101</v>
      </c>
      <c r="D305" s="2" t="s">
        <v>20</v>
      </c>
      <c r="E305" s="2">
        <v>25</v>
      </c>
      <c r="F305" s="2" t="s">
        <v>30</v>
      </c>
      <c r="G305" s="2" t="s">
        <v>114</v>
      </c>
      <c r="H305" s="2" t="s">
        <v>946</v>
      </c>
      <c r="I305" s="2">
        <v>76975</v>
      </c>
      <c r="J305" s="2" t="s">
        <v>40</v>
      </c>
      <c r="K305" s="2" t="s">
        <v>947</v>
      </c>
      <c r="L305" s="2" t="s">
        <v>26</v>
      </c>
      <c r="M305" s="2" t="str">
        <f>VLOOKUP(F305,Departments!$A$1:$C$6,2,0)</f>
        <v>IT</v>
      </c>
      <c r="N305" s="2" t="str">
        <f>INDEX(Departments!$B$1:$B$6, MATCH(Employees!F305, Departments!$A$1:$A$6, 0))</f>
        <v>IT</v>
      </c>
      <c r="O305" s="3" t="str">
        <f>INDEX(Departments!$B$2:$B$6,MATCH(Employees!F305,Departments!$A$2:$A$6,0))</f>
        <v>IT</v>
      </c>
      <c r="P305" s="3">
        <f>INDEX(Performance!$C$2:$C$501,MATCH(Employees!A305,Performance!$A$2:$A$501,0))</f>
        <v>5</v>
      </c>
      <c r="Q305" s="4">
        <f t="shared" si="4"/>
        <v>11546.25</v>
      </c>
    </row>
    <row r="306" spans="1:17" hidden="1" x14ac:dyDescent="0.25">
      <c r="A306" s="2" t="s">
        <v>948</v>
      </c>
      <c r="B306" s="2" t="s">
        <v>44</v>
      </c>
      <c r="C306" s="2" t="s">
        <v>51</v>
      </c>
      <c r="D306" s="2" t="s">
        <v>20</v>
      </c>
      <c r="E306" s="2">
        <v>40</v>
      </c>
      <c r="F306" s="2" t="s">
        <v>21</v>
      </c>
      <c r="G306" s="2" t="s">
        <v>46</v>
      </c>
      <c r="H306" s="2" t="s">
        <v>949</v>
      </c>
      <c r="I306" s="2">
        <v>52019</v>
      </c>
      <c r="J306" s="2" t="s">
        <v>86</v>
      </c>
      <c r="K306" s="2" t="s">
        <v>950</v>
      </c>
      <c r="L306" s="2" t="s">
        <v>26</v>
      </c>
      <c r="M306" s="2" t="str">
        <f>VLOOKUP(F306,Departments!$A$1:$C$6,2,0)</f>
        <v>HR</v>
      </c>
      <c r="N306" s="2" t="str">
        <f>INDEX(Departments!$B$1:$B$6, MATCH(Employees!F306, Departments!$A$1:$A$6, 0))</f>
        <v>HR</v>
      </c>
      <c r="O306" s="3" t="str">
        <f>INDEX(Departments!$B$2:$B$6,MATCH(Employees!F306,Departments!$A$2:$A$6,0))</f>
        <v>HR</v>
      </c>
      <c r="P306" s="3">
        <f>INDEX(Performance!$C$2:$C$501,MATCH(Employees!A306,Performance!$A$2:$A$501,0))</f>
        <v>2</v>
      </c>
      <c r="Q306" s="4">
        <f t="shared" si="4"/>
        <v>2600.9500000000003</v>
      </c>
    </row>
    <row r="307" spans="1:17" hidden="1" x14ac:dyDescent="0.25">
      <c r="A307" s="2" t="s">
        <v>951</v>
      </c>
      <c r="B307" s="2" t="s">
        <v>64</v>
      </c>
      <c r="C307" s="2" t="s">
        <v>136</v>
      </c>
      <c r="D307" s="2" t="s">
        <v>20</v>
      </c>
      <c r="E307" s="2">
        <v>22</v>
      </c>
      <c r="F307" s="2" t="s">
        <v>21</v>
      </c>
      <c r="G307" s="2" t="s">
        <v>114</v>
      </c>
      <c r="H307" s="2" t="s">
        <v>952</v>
      </c>
      <c r="I307" s="2">
        <v>89336</v>
      </c>
      <c r="J307" s="2" t="s">
        <v>71</v>
      </c>
      <c r="K307" s="2" t="s">
        <v>953</v>
      </c>
      <c r="L307" s="2" t="s">
        <v>26</v>
      </c>
      <c r="M307" s="2" t="str">
        <f>VLOOKUP(F307,Departments!$A$1:$C$6,2,0)</f>
        <v>HR</v>
      </c>
      <c r="N307" s="2" t="str">
        <f>INDEX(Departments!$B$1:$B$6, MATCH(Employees!F307, Departments!$A$1:$A$6, 0))</f>
        <v>HR</v>
      </c>
      <c r="O307" s="3" t="str">
        <f>INDEX(Departments!$B$2:$B$6,MATCH(Employees!F307,Departments!$A$2:$A$6,0))</f>
        <v>HR</v>
      </c>
      <c r="P307" s="3">
        <f>INDEX(Performance!$C$2:$C$501,MATCH(Employees!A307,Performance!$A$2:$A$501,0))</f>
        <v>2</v>
      </c>
      <c r="Q307" s="4">
        <f t="shared" si="4"/>
        <v>4466.8</v>
      </c>
    </row>
    <row r="308" spans="1:17" hidden="1" x14ac:dyDescent="0.25">
      <c r="A308" s="2" t="s">
        <v>954</v>
      </c>
      <c r="B308" s="2" t="s">
        <v>44</v>
      </c>
      <c r="C308" s="2" t="s">
        <v>84</v>
      </c>
      <c r="D308" s="2" t="s">
        <v>29</v>
      </c>
      <c r="E308" s="2">
        <v>41</v>
      </c>
      <c r="F308" s="2" t="s">
        <v>56</v>
      </c>
      <c r="G308" s="2" t="s">
        <v>38</v>
      </c>
      <c r="H308" s="2" t="s">
        <v>955</v>
      </c>
      <c r="I308" s="2">
        <v>81363</v>
      </c>
      <c r="J308" s="2" t="s">
        <v>66</v>
      </c>
      <c r="K308" s="2" t="s">
        <v>956</v>
      </c>
      <c r="L308" s="2" t="s">
        <v>42</v>
      </c>
      <c r="M308" s="2" t="str">
        <f>VLOOKUP(F308,Departments!$A$1:$C$6,2,0)</f>
        <v>Finance</v>
      </c>
      <c r="N308" s="2" t="str">
        <f>INDEX(Departments!$B$1:$B$6, MATCH(Employees!F308, Departments!$A$1:$A$6, 0))</f>
        <v>Finance</v>
      </c>
      <c r="O308" s="3" t="str">
        <f>INDEX(Departments!$B$2:$B$6,MATCH(Employees!F308,Departments!$A$2:$A$6,0))</f>
        <v>Finance</v>
      </c>
      <c r="P308" s="3">
        <f>INDEX(Performance!$C$2:$C$501,MATCH(Employees!A308,Performance!$A$2:$A$501,0))</f>
        <v>2</v>
      </c>
      <c r="Q308" s="4">
        <f t="shared" si="4"/>
        <v>4068.15</v>
      </c>
    </row>
    <row r="309" spans="1:17" hidden="1" x14ac:dyDescent="0.25">
      <c r="A309" s="2" t="s">
        <v>957</v>
      </c>
      <c r="B309" s="2" t="s">
        <v>55</v>
      </c>
      <c r="C309" s="2" t="s">
        <v>89</v>
      </c>
      <c r="D309" s="2" t="s">
        <v>29</v>
      </c>
      <c r="E309" s="2">
        <v>45</v>
      </c>
      <c r="F309" s="2" t="s">
        <v>56</v>
      </c>
      <c r="G309" s="2" t="s">
        <v>22</v>
      </c>
      <c r="H309" s="2" t="s">
        <v>958</v>
      </c>
      <c r="I309" s="2">
        <v>74751</v>
      </c>
      <c r="J309" s="2" t="s">
        <v>66</v>
      </c>
      <c r="K309" s="2" t="s">
        <v>959</v>
      </c>
      <c r="L309" s="2" t="s">
        <v>26</v>
      </c>
      <c r="M309" s="2" t="str">
        <f>VLOOKUP(F309,Departments!$A$1:$C$6,2,0)</f>
        <v>Finance</v>
      </c>
      <c r="N309" s="2" t="str">
        <f>INDEX(Departments!$B$1:$B$6, MATCH(Employees!F309, Departments!$A$1:$A$6, 0))</f>
        <v>Finance</v>
      </c>
      <c r="O309" s="3" t="str">
        <f>INDEX(Departments!$B$2:$B$6,MATCH(Employees!F309,Departments!$A$2:$A$6,0))</f>
        <v>Finance</v>
      </c>
      <c r="P309" s="3">
        <f>INDEX(Performance!$C$2:$C$501,MATCH(Employees!A309,Performance!$A$2:$A$501,0))</f>
        <v>3</v>
      </c>
      <c r="Q309" s="4">
        <f t="shared" si="4"/>
        <v>5232.5700000000006</v>
      </c>
    </row>
    <row r="310" spans="1:17" hidden="1" x14ac:dyDescent="0.25">
      <c r="A310" s="2" t="s">
        <v>960</v>
      </c>
      <c r="B310" s="2" t="s">
        <v>149</v>
      </c>
      <c r="C310" s="2" t="s">
        <v>69</v>
      </c>
      <c r="D310" s="2" t="s">
        <v>20</v>
      </c>
      <c r="E310" s="2">
        <v>55</v>
      </c>
      <c r="F310" s="2" t="s">
        <v>56</v>
      </c>
      <c r="G310" s="2" t="s">
        <v>46</v>
      </c>
      <c r="H310" s="2" t="s">
        <v>199</v>
      </c>
      <c r="I310" s="2">
        <v>75014</v>
      </c>
      <c r="J310" s="2" t="s">
        <v>71</v>
      </c>
      <c r="K310" s="2" t="s">
        <v>961</v>
      </c>
      <c r="L310" s="2" t="s">
        <v>26</v>
      </c>
      <c r="M310" s="2" t="str">
        <f>VLOOKUP(F310,Departments!$A$1:$C$6,2,0)</f>
        <v>Finance</v>
      </c>
      <c r="N310" s="2" t="str">
        <f>INDEX(Departments!$B$1:$B$6, MATCH(Employees!F310, Departments!$A$1:$A$6, 0))</f>
        <v>Finance</v>
      </c>
      <c r="O310" s="3" t="str">
        <f>INDEX(Departments!$B$2:$B$6,MATCH(Employees!F310,Departments!$A$2:$A$6,0))</f>
        <v>Finance</v>
      </c>
      <c r="P310" s="3">
        <f>INDEX(Performance!$C$2:$C$501,MATCH(Employees!A310,Performance!$A$2:$A$501,0))</f>
        <v>1</v>
      </c>
      <c r="Q310" s="4">
        <f t="shared" si="4"/>
        <v>3750.7000000000003</v>
      </c>
    </row>
    <row r="311" spans="1:17" hidden="1" x14ac:dyDescent="0.25">
      <c r="A311" s="2" t="s">
        <v>962</v>
      </c>
      <c r="B311" s="2" t="s">
        <v>60</v>
      </c>
      <c r="C311" s="2" t="s">
        <v>69</v>
      </c>
      <c r="D311" s="2" t="s">
        <v>20</v>
      </c>
      <c r="E311" s="2">
        <v>55</v>
      </c>
      <c r="F311" s="2" t="s">
        <v>45</v>
      </c>
      <c r="G311" s="2" t="s">
        <v>31</v>
      </c>
      <c r="H311" s="2" t="s">
        <v>963</v>
      </c>
      <c r="I311" s="2">
        <v>98004</v>
      </c>
      <c r="J311" s="2" t="s">
        <v>66</v>
      </c>
      <c r="K311" s="2" t="s">
        <v>964</v>
      </c>
      <c r="L311" s="2" t="s">
        <v>42</v>
      </c>
      <c r="M311" s="2" t="str">
        <f>VLOOKUP(F311,Departments!$A$1:$C$6,2,0)</f>
        <v>Marketing</v>
      </c>
      <c r="N311" s="2" t="str">
        <f>INDEX(Departments!$B$1:$B$6, MATCH(Employees!F311, Departments!$A$1:$A$6, 0))</f>
        <v>Marketing</v>
      </c>
      <c r="O311" s="3" t="str">
        <f>INDEX(Departments!$B$2:$B$6,MATCH(Employees!F311,Departments!$A$2:$A$6,0))</f>
        <v>Marketing</v>
      </c>
      <c r="P311" s="3">
        <f>INDEX(Performance!$C$2:$C$501,MATCH(Employees!A311,Performance!$A$2:$A$501,0))</f>
        <v>3</v>
      </c>
      <c r="Q311" s="4">
        <f t="shared" si="4"/>
        <v>6860.2800000000007</v>
      </c>
    </row>
    <row r="312" spans="1:17" x14ac:dyDescent="0.25">
      <c r="A312" s="2" t="s">
        <v>965</v>
      </c>
      <c r="B312" s="2" t="s">
        <v>60</v>
      </c>
      <c r="C312" s="2" t="s">
        <v>28</v>
      </c>
      <c r="D312" s="2" t="s">
        <v>20</v>
      </c>
      <c r="E312" s="2">
        <v>27</v>
      </c>
      <c r="F312" s="2" t="s">
        <v>56</v>
      </c>
      <c r="G312" s="2" t="s">
        <v>22</v>
      </c>
      <c r="H312" s="2" t="s">
        <v>472</v>
      </c>
      <c r="I312" s="2">
        <v>86048</v>
      </c>
      <c r="J312" s="2" t="s">
        <v>24</v>
      </c>
      <c r="K312" s="2" t="s">
        <v>966</v>
      </c>
      <c r="L312" s="2" t="s">
        <v>26</v>
      </c>
      <c r="M312" s="2" t="str">
        <f>VLOOKUP(F312,Departments!$A$1:$C$6,2,0)</f>
        <v>Finance</v>
      </c>
      <c r="N312" s="2" t="str">
        <f>INDEX(Departments!$B$1:$B$6, MATCH(Employees!F312, Departments!$A$1:$A$6, 0))</f>
        <v>Finance</v>
      </c>
      <c r="O312" s="6" t="str">
        <f>INDEX(Departments!$B$2:$B$6,MATCH(Employees!F312,Departments!$A$2:$A$6,0))</f>
        <v>Finance</v>
      </c>
      <c r="P312" s="6">
        <f>_xlfn.XLOOKUP(A312,Performance!$A$2:$A$501,Performance!$C$2:$C$501)</f>
        <v>2</v>
      </c>
      <c r="Q312" s="7">
        <f t="shared" si="4"/>
        <v>4302.4000000000005</v>
      </c>
    </row>
    <row r="313" spans="1:17" hidden="1" x14ac:dyDescent="0.25">
      <c r="A313" s="2" t="s">
        <v>967</v>
      </c>
      <c r="B313" s="2" t="s">
        <v>149</v>
      </c>
      <c r="C313" s="2" t="s">
        <v>171</v>
      </c>
      <c r="D313" s="2" t="s">
        <v>29</v>
      </c>
      <c r="E313" s="2">
        <v>47</v>
      </c>
      <c r="F313" s="2" t="s">
        <v>37</v>
      </c>
      <c r="G313" s="2" t="s">
        <v>38</v>
      </c>
      <c r="H313" s="2" t="s">
        <v>968</v>
      </c>
      <c r="I313" s="2">
        <v>105072</v>
      </c>
      <c r="J313" s="2" t="s">
        <v>40</v>
      </c>
      <c r="K313" s="2" t="s">
        <v>969</v>
      </c>
      <c r="L313" s="2" t="s">
        <v>42</v>
      </c>
      <c r="M313" s="2" t="str">
        <f>VLOOKUP(F313,Departments!$A$1:$C$6,2,0)</f>
        <v>Sales</v>
      </c>
      <c r="N313" s="2" t="str">
        <f>INDEX(Departments!$B$1:$B$6, MATCH(Employees!F313, Departments!$A$1:$A$6, 0))</f>
        <v>Sales</v>
      </c>
      <c r="O313" s="3" t="str">
        <f>INDEX(Departments!$B$2:$B$6,MATCH(Employees!F313,Departments!$A$2:$A$6,0))</f>
        <v>Sales</v>
      </c>
      <c r="P313" s="3">
        <f>INDEX(Performance!$C$2:$C$501,MATCH(Employees!A313,Performance!$A$2:$A$501,0))</f>
        <v>4</v>
      </c>
      <c r="Q313" s="4">
        <f t="shared" si="4"/>
        <v>10507.2</v>
      </c>
    </row>
    <row r="314" spans="1:17" hidden="1" x14ac:dyDescent="0.25">
      <c r="A314" s="2" t="s">
        <v>970</v>
      </c>
      <c r="B314" s="2" t="s">
        <v>50</v>
      </c>
      <c r="C314" s="2" t="s">
        <v>171</v>
      </c>
      <c r="D314" s="2" t="s">
        <v>29</v>
      </c>
      <c r="E314" s="2">
        <v>24</v>
      </c>
      <c r="F314" s="2" t="s">
        <v>45</v>
      </c>
      <c r="G314" s="2" t="s">
        <v>22</v>
      </c>
      <c r="H314" s="2" t="s">
        <v>971</v>
      </c>
      <c r="I314" s="2">
        <v>54389</v>
      </c>
      <c r="J314" s="2" t="s">
        <v>40</v>
      </c>
      <c r="K314" s="2" t="s">
        <v>972</v>
      </c>
      <c r="L314" s="2" t="s">
        <v>42</v>
      </c>
      <c r="M314" s="2" t="str">
        <f>VLOOKUP(F314,Departments!$A$1:$C$6,2,0)</f>
        <v>Marketing</v>
      </c>
      <c r="N314" s="2" t="str">
        <f>INDEX(Departments!$B$1:$B$6, MATCH(Employees!F314, Departments!$A$1:$A$6, 0))</f>
        <v>Marketing</v>
      </c>
      <c r="O314" s="3" t="str">
        <f>INDEX(Departments!$B$2:$B$6,MATCH(Employees!F314,Departments!$A$2:$A$6,0))</f>
        <v>Marketing</v>
      </c>
      <c r="P314" s="3">
        <f>INDEX(Performance!$C$2:$C$501,MATCH(Employees!A314,Performance!$A$2:$A$501,0))</f>
        <v>5</v>
      </c>
      <c r="Q314" s="4">
        <f t="shared" si="4"/>
        <v>8158.3499999999995</v>
      </c>
    </row>
    <row r="315" spans="1:17" hidden="1" x14ac:dyDescent="0.25">
      <c r="A315" s="2" t="s">
        <v>973</v>
      </c>
      <c r="B315" s="2" t="s">
        <v>36</v>
      </c>
      <c r="C315" s="2" t="s">
        <v>28</v>
      </c>
      <c r="D315" s="2" t="s">
        <v>20</v>
      </c>
      <c r="E315" s="2">
        <v>58</v>
      </c>
      <c r="F315" s="2" t="s">
        <v>56</v>
      </c>
      <c r="G315" s="2" t="s">
        <v>22</v>
      </c>
      <c r="H315" s="2" t="s">
        <v>974</v>
      </c>
      <c r="I315" s="2">
        <v>48029</v>
      </c>
      <c r="J315" s="2" t="s">
        <v>40</v>
      </c>
      <c r="K315" s="2" t="s">
        <v>975</v>
      </c>
      <c r="L315" s="2" t="s">
        <v>26</v>
      </c>
      <c r="M315" s="2" t="str">
        <f>VLOOKUP(F315,Departments!$A$1:$C$6,2,0)</f>
        <v>Finance</v>
      </c>
      <c r="N315" s="2" t="str">
        <f>INDEX(Departments!$B$1:$B$6, MATCH(Employees!F315, Departments!$A$1:$A$6, 0))</f>
        <v>Finance</v>
      </c>
      <c r="O315" s="3" t="str">
        <f>INDEX(Departments!$B$2:$B$6,MATCH(Employees!F315,Departments!$A$2:$A$6,0))</f>
        <v>Finance</v>
      </c>
      <c r="P315" s="3">
        <f>INDEX(Performance!$C$2:$C$501,MATCH(Employees!A315,Performance!$A$2:$A$501,0))</f>
        <v>3</v>
      </c>
      <c r="Q315" s="4">
        <f t="shared" si="4"/>
        <v>3362.03</v>
      </c>
    </row>
    <row r="316" spans="1:17" hidden="1" x14ac:dyDescent="0.25">
      <c r="A316" s="2" t="s">
        <v>976</v>
      </c>
      <c r="B316" s="2" t="s">
        <v>18</v>
      </c>
      <c r="C316" s="2" t="s">
        <v>171</v>
      </c>
      <c r="D316" s="2" t="s">
        <v>20</v>
      </c>
      <c r="E316" s="2">
        <v>45</v>
      </c>
      <c r="F316" s="2" t="s">
        <v>56</v>
      </c>
      <c r="G316" s="2" t="s">
        <v>22</v>
      </c>
      <c r="H316" s="2" t="s">
        <v>977</v>
      </c>
      <c r="I316" s="2">
        <v>98879</v>
      </c>
      <c r="J316" s="2" t="s">
        <v>71</v>
      </c>
      <c r="K316" s="2" t="s">
        <v>978</v>
      </c>
      <c r="L316" s="2" t="s">
        <v>26</v>
      </c>
      <c r="M316" s="2" t="str">
        <f>VLOOKUP(F316,Departments!$A$1:$C$6,2,0)</f>
        <v>Finance</v>
      </c>
      <c r="N316" s="2" t="str">
        <f>INDEX(Departments!$B$1:$B$6, MATCH(Employees!F316, Departments!$A$1:$A$6, 0))</f>
        <v>Finance</v>
      </c>
      <c r="O316" s="3" t="str">
        <f>INDEX(Departments!$B$2:$B$6,MATCH(Employees!F316,Departments!$A$2:$A$6,0))</f>
        <v>Finance</v>
      </c>
      <c r="P316" s="3">
        <f>INDEX(Performance!$C$2:$C$501,MATCH(Employees!A316,Performance!$A$2:$A$501,0))</f>
        <v>1</v>
      </c>
      <c r="Q316" s="4">
        <f t="shared" si="4"/>
        <v>4943.9500000000007</v>
      </c>
    </row>
    <row r="317" spans="1:17" hidden="1" x14ac:dyDescent="0.25">
      <c r="A317" s="2" t="s">
        <v>979</v>
      </c>
      <c r="B317" s="2" t="s">
        <v>60</v>
      </c>
      <c r="C317" s="2" t="s">
        <v>136</v>
      </c>
      <c r="D317" s="2" t="s">
        <v>20</v>
      </c>
      <c r="E317" s="2">
        <v>41</v>
      </c>
      <c r="F317" s="2" t="s">
        <v>45</v>
      </c>
      <c r="G317" s="2" t="s">
        <v>46</v>
      </c>
      <c r="H317" s="2" t="s">
        <v>980</v>
      </c>
      <c r="I317" s="2">
        <v>41158</v>
      </c>
      <c r="J317" s="2" t="s">
        <v>24</v>
      </c>
      <c r="K317" s="2" t="s">
        <v>981</v>
      </c>
      <c r="L317" s="2" t="s">
        <v>42</v>
      </c>
      <c r="M317" s="2" t="str">
        <f>VLOOKUP(F317,Departments!$A$1:$C$6,2,0)</f>
        <v>Marketing</v>
      </c>
      <c r="N317" s="2" t="str">
        <f>INDEX(Departments!$B$1:$B$6, MATCH(Employees!F317, Departments!$A$1:$A$6, 0))</f>
        <v>Marketing</v>
      </c>
      <c r="O317" s="3" t="str">
        <f>INDEX(Departments!$B$2:$B$6,MATCH(Employees!F317,Departments!$A$2:$A$6,0))</f>
        <v>Marketing</v>
      </c>
      <c r="P317" s="3">
        <f>INDEX(Performance!$C$2:$C$501,MATCH(Employees!A317,Performance!$A$2:$A$501,0))</f>
        <v>5</v>
      </c>
      <c r="Q317" s="4">
        <f t="shared" si="4"/>
        <v>6173.7</v>
      </c>
    </row>
    <row r="318" spans="1:17" hidden="1" x14ac:dyDescent="0.25">
      <c r="A318" s="2" t="s">
        <v>982</v>
      </c>
      <c r="B318" s="2" t="s">
        <v>60</v>
      </c>
      <c r="C318" s="2" t="s">
        <v>28</v>
      </c>
      <c r="D318" s="2" t="s">
        <v>29</v>
      </c>
      <c r="E318" s="2">
        <v>31</v>
      </c>
      <c r="F318" s="2" t="s">
        <v>37</v>
      </c>
      <c r="G318" s="2" t="s">
        <v>31</v>
      </c>
      <c r="H318" s="2" t="s">
        <v>983</v>
      </c>
      <c r="I318" s="2">
        <v>57027</v>
      </c>
      <c r="J318" s="2" t="s">
        <v>40</v>
      </c>
      <c r="K318" s="2" t="s">
        <v>984</v>
      </c>
      <c r="L318" s="2" t="s">
        <v>42</v>
      </c>
      <c r="M318" s="2" t="str">
        <f>VLOOKUP(F318,Departments!$A$1:$C$6,2,0)</f>
        <v>Sales</v>
      </c>
      <c r="N318" s="2" t="str">
        <f>INDEX(Departments!$B$1:$B$6, MATCH(Employees!F318, Departments!$A$1:$A$6, 0))</f>
        <v>Sales</v>
      </c>
      <c r="O318" s="3" t="str">
        <f>INDEX(Departments!$B$2:$B$6,MATCH(Employees!F318,Departments!$A$2:$A$6,0))</f>
        <v>Sales</v>
      </c>
      <c r="P318" s="3">
        <f>INDEX(Performance!$C$2:$C$501,MATCH(Employees!A318,Performance!$A$2:$A$501,0))</f>
        <v>2</v>
      </c>
      <c r="Q318" s="4">
        <f t="shared" si="4"/>
        <v>2851.3500000000004</v>
      </c>
    </row>
    <row r="319" spans="1:17" hidden="1" x14ac:dyDescent="0.25">
      <c r="A319" s="2" t="s">
        <v>985</v>
      </c>
      <c r="B319" s="2" t="s">
        <v>149</v>
      </c>
      <c r="C319" s="2" t="s">
        <v>136</v>
      </c>
      <c r="D319" s="2" t="s">
        <v>20</v>
      </c>
      <c r="E319" s="2">
        <v>24</v>
      </c>
      <c r="F319" s="2" t="s">
        <v>37</v>
      </c>
      <c r="G319" s="2" t="s">
        <v>31</v>
      </c>
      <c r="H319" s="2" t="s">
        <v>986</v>
      </c>
      <c r="I319" s="2">
        <v>56782</v>
      </c>
      <c r="J319" s="2" t="s">
        <v>40</v>
      </c>
      <c r="K319" s="2" t="s">
        <v>987</v>
      </c>
      <c r="L319" s="2" t="s">
        <v>26</v>
      </c>
      <c r="M319" s="2" t="str">
        <f>VLOOKUP(F319,Departments!$A$1:$C$6,2,0)</f>
        <v>Sales</v>
      </c>
      <c r="N319" s="2" t="str">
        <f>INDEX(Departments!$B$1:$B$6, MATCH(Employees!F319, Departments!$A$1:$A$6, 0))</f>
        <v>Sales</v>
      </c>
      <c r="O319" s="3" t="str">
        <f>INDEX(Departments!$B$2:$B$6,MATCH(Employees!F319,Departments!$A$2:$A$6,0))</f>
        <v>Sales</v>
      </c>
      <c r="P319" s="3">
        <f>INDEX(Performance!$C$2:$C$501,MATCH(Employees!A319,Performance!$A$2:$A$501,0))</f>
        <v>2</v>
      </c>
      <c r="Q319" s="4">
        <f t="shared" si="4"/>
        <v>2839.1000000000004</v>
      </c>
    </row>
    <row r="320" spans="1:17" x14ac:dyDescent="0.25">
      <c r="A320" s="2" t="s">
        <v>988</v>
      </c>
      <c r="B320" s="2" t="s">
        <v>44</v>
      </c>
      <c r="C320" s="2" t="s">
        <v>101</v>
      </c>
      <c r="D320" s="2" t="s">
        <v>20</v>
      </c>
      <c r="E320" s="2">
        <v>53</v>
      </c>
      <c r="F320" s="2" t="s">
        <v>37</v>
      </c>
      <c r="G320" s="2" t="s">
        <v>22</v>
      </c>
      <c r="H320" s="2" t="s">
        <v>989</v>
      </c>
      <c r="I320" s="2">
        <v>50653</v>
      </c>
      <c r="J320" s="2" t="s">
        <v>24</v>
      </c>
      <c r="K320" s="2" t="s">
        <v>990</v>
      </c>
      <c r="L320" s="2" t="s">
        <v>42</v>
      </c>
      <c r="M320" s="2" t="str">
        <f>VLOOKUP(F320,Departments!$A$1:$C$6,2,0)</f>
        <v>Sales</v>
      </c>
      <c r="N320" s="2" t="str">
        <f>INDEX(Departments!$B$1:$B$6, MATCH(Employees!F320, Departments!$A$1:$A$6, 0))</f>
        <v>Sales</v>
      </c>
      <c r="O320" s="6" t="str">
        <f>INDEX(Departments!$B$2:$B$6,MATCH(Employees!F320,Departments!$A$2:$A$6,0))</f>
        <v>Sales</v>
      </c>
      <c r="P320" s="6">
        <f>_xlfn.XLOOKUP(A320,Performance!$A$2:$A$501,Performance!$C$2:$C$501)</f>
        <v>3</v>
      </c>
      <c r="Q320" s="7">
        <f t="shared" si="4"/>
        <v>3545.7100000000005</v>
      </c>
    </row>
    <row r="321" spans="1:17" hidden="1" x14ac:dyDescent="0.25">
      <c r="A321" s="2" t="s">
        <v>991</v>
      </c>
      <c r="B321" s="2" t="s">
        <v>44</v>
      </c>
      <c r="C321" s="2" t="s">
        <v>89</v>
      </c>
      <c r="D321" s="2" t="s">
        <v>20</v>
      </c>
      <c r="E321" s="2">
        <v>37</v>
      </c>
      <c r="F321" s="2" t="s">
        <v>21</v>
      </c>
      <c r="G321" s="2" t="s">
        <v>46</v>
      </c>
      <c r="H321" s="2" t="s">
        <v>481</v>
      </c>
      <c r="I321" s="2">
        <v>104915</v>
      </c>
      <c r="J321" s="2" t="s">
        <v>86</v>
      </c>
      <c r="K321" s="2" t="s">
        <v>992</v>
      </c>
      <c r="L321" s="2" t="s">
        <v>42</v>
      </c>
      <c r="M321" s="2" t="str">
        <f>VLOOKUP(F321,Departments!$A$1:$C$6,2,0)</f>
        <v>HR</v>
      </c>
      <c r="N321" s="2" t="str">
        <f>INDEX(Departments!$B$1:$B$6, MATCH(Employees!F321, Departments!$A$1:$A$6, 0))</f>
        <v>HR</v>
      </c>
      <c r="O321" s="3" t="str">
        <f>INDEX(Departments!$B$2:$B$6,MATCH(Employees!F321,Departments!$A$2:$A$6,0))</f>
        <v>HR</v>
      </c>
      <c r="P321" s="3">
        <f>INDEX(Performance!$C$2:$C$501,MATCH(Employees!A321,Performance!$A$2:$A$501,0))</f>
        <v>2</v>
      </c>
      <c r="Q321" s="4">
        <f t="shared" si="4"/>
        <v>5245.75</v>
      </c>
    </row>
    <row r="322" spans="1:17" hidden="1" x14ac:dyDescent="0.25">
      <c r="A322" s="2" t="s">
        <v>993</v>
      </c>
      <c r="B322" s="2" t="s">
        <v>50</v>
      </c>
      <c r="C322" s="2" t="s">
        <v>101</v>
      </c>
      <c r="D322" s="2" t="s">
        <v>29</v>
      </c>
      <c r="E322" s="2">
        <v>43</v>
      </c>
      <c r="F322" s="2" t="s">
        <v>37</v>
      </c>
      <c r="G322" s="2" t="s">
        <v>46</v>
      </c>
      <c r="H322" s="2" t="s">
        <v>994</v>
      </c>
      <c r="I322" s="2">
        <v>87776</v>
      </c>
      <c r="J322" s="2" t="s">
        <v>86</v>
      </c>
      <c r="K322" s="2" t="s">
        <v>995</v>
      </c>
      <c r="L322" s="2" t="s">
        <v>42</v>
      </c>
      <c r="M322" s="2" t="str">
        <f>VLOOKUP(F322,Departments!$A$1:$C$6,2,0)</f>
        <v>Sales</v>
      </c>
      <c r="N322" s="2" t="str">
        <f>INDEX(Departments!$B$1:$B$6, MATCH(Employees!F322, Departments!$A$1:$A$6, 0))</f>
        <v>Sales</v>
      </c>
      <c r="O322" s="3" t="str">
        <f>INDEX(Departments!$B$2:$B$6,MATCH(Employees!F322,Departments!$A$2:$A$6,0))</f>
        <v>Sales</v>
      </c>
      <c r="P322" s="3">
        <f>INDEX(Performance!$C$2:$C$501,MATCH(Employees!A322,Performance!$A$2:$A$501,0))</f>
        <v>5</v>
      </c>
      <c r="Q322" s="4">
        <f t="shared" ref="Q322:Q385" si="5">IF(P322=5,I322*0.15,IF(P322=4,I322*0.1,IF(P322=3,I322*0.07,IF(P322&lt;3,I322*0.05,0))))</f>
        <v>13166.4</v>
      </c>
    </row>
    <row r="323" spans="1:17" hidden="1" x14ac:dyDescent="0.25">
      <c r="A323" s="2" t="s">
        <v>996</v>
      </c>
      <c r="B323" s="2" t="s">
        <v>64</v>
      </c>
      <c r="C323" s="2" t="s">
        <v>136</v>
      </c>
      <c r="D323" s="2" t="s">
        <v>20</v>
      </c>
      <c r="E323" s="2">
        <v>49</v>
      </c>
      <c r="F323" s="2" t="s">
        <v>45</v>
      </c>
      <c r="G323" s="2" t="s">
        <v>38</v>
      </c>
      <c r="H323" s="2" t="s">
        <v>997</v>
      </c>
      <c r="I323" s="2">
        <v>52338</v>
      </c>
      <c r="J323" s="2" t="s">
        <v>66</v>
      </c>
      <c r="K323" s="2" t="s">
        <v>998</v>
      </c>
      <c r="L323" s="2" t="s">
        <v>42</v>
      </c>
      <c r="M323" s="2" t="str">
        <f>VLOOKUP(F323,Departments!$A$1:$C$6,2,0)</f>
        <v>Marketing</v>
      </c>
      <c r="N323" s="2" t="str">
        <f>INDEX(Departments!$B$1:$B$6, MATCH(Employees!F323, Departments!$A$1:$A$6, 0))</f>
        <v>Marketing</v>
      </c>
      <c r="O323" s="3" t="str">
        <f>INDEX(Departments!$B$2:$B$6,MATCH(Employees!F323,Departments!$A$2:$A$6,0))</f>
        <v>Marketing</v>
      </c>
      <c r="P323" s="3">
        <f>INDEX(Performance!$C$2:$C$501,MATCH(Employees!A323,Performance!$A$2:$A$501,0))</f>
        <v>3</v>
      </c>
      <c r="Q323" s="4">
        <f t="shared" si="5"/>
        <v>3663.6600000000003</v>
      </c>
    </row>
    <row r="324" spans="1:17" hidden="1" x14ac:dyDescent="0.25">
      <c r="A324" s="2" t="s">
        <v>999</v>
      </c>
      <c r="B324" s="2" t="s">
        <v>36</v>
      </c>
      <c r="C324" s="2" t="s">
        <v>51</v>
      </c>
      <c r="D324" s="2" t="s">
        <v>20</v>
      </c>
      <c r="E324" s="2">
        <v>53</v>
      </c>
      <c r="F324" s="2" t="s">
        <v>45</v>
      </c>
      <c r="G324" s="2" t="s">
        <v>38</v>
      </c>
      <c r="H324" s="2" t="s">
        <v>1000</v>
      </c>
      <c r="I324" s="2">
        <v>45630</v>
      </c>
      <c r="J324" s="2" t="s">
        <v>71</v>
      </c>
      <c r="K324" s="2" t="s">
        <v>1001</v>
      </c>
      <c r="L324" s="2" t="s">
        <v>42</v>
      </c>
      <c r="M324" s="2" t="str">
        <f>VLOOKUP(F324,Departments!$A$1:$C$6,2,0)</f>
        <v>Marketing</v>
      </c>
      <c r="N324" s="2" t="str">
        <f>INDEX(Departments!$B$1:$B$6, MATCH(Employees!F324, Departments!$A$1:$A$6, 0))</f>
        <v>Marketing</v>
      </c>
      <c r="O324" s="3" t="str">
        <f>INDEX(Departments!$B$2:$B$6,MATCH(Employees!F324,Departments!$A$2:$A$6,0))</f>
        <v>Marketing</v>
      </c>
      <c r="P324" s="3">
        <f>INDEX(Performance!$C$2:$C$501,MATCH(Employees!A324,Performance!$A$2:$A$501,0))</f>
        <v>3</v>
      </c>
      <c r="Q324" s="4">
        <f t="shared" si="5"/>
        <v>3194.1000000000004</v>
      </c>
    </row>
    <row r="325" spans="1:17" hidden="1" x14ac:dyDescent="0.25">
      <c r="A325" s="2" t="s">
        <v>1002</v>
      </c>
      <c r="B325" s="2" t="s">
        <v>44</v>
      </c>
      <c r="C325" s="2" t="s">
        <v>51</v>
      </c>
      <c r="D325" s="2" t="s">
        <v>29</v>
      </c>
      <c r="E325" s="2">
        <v>44</v>
      </c>
      <c r="F325" s="2" t="s">
        <v>45</v>
      </c>
      <c r="G325" s="2" t="s">
        <v>38</v>
      </c>
      <c r="H325" s="2" t="s">
        <v>1003</v>
      </c>
      <c r="I325" s="2">
        <v>80403</v>
      </c>
      <c r="J325" s="2" t="s">
        <v>66</v>
      </c>
      <c r="K325" s="2" t="s">
        <v>1004</v>
      </c>
      <c r="L325" s="2" t="s">
        <v>26</v>
      </c>
      <c r="M325" s="2" t="str">
        <f>VLOOKUP(F325,Departments!$A$1:$C$6,2,0)</f>
        <v>Marketing</v>
      </c>
      <c r="N325" s="2" t="str">
        <f>INDEX(Departments!$B$1:$B$6, MATCH(Employees!F325, Departments!$A$1:$A$6, 0))</f>
        <v>Marketing</v>
      </c>
      <c r="O325" s="3" t="str">
        <f>INDEX(Departments!$B$2:$B$6,MATCH(Employees!F325,Departments!$A$2:$A$6,0))</f>
        <v>Marketing</v>
      </c>
      <c r="P325" s="3">
        <f>INDEX(Performance!$C$2:$C$501,MATCH(Employees!A325,Performance!$A$2:$A$501,0))</f>
        <v>4</v>
      </c>
      <c r="Q325" s="4">
        <f t="shared" si="5"/>
        <v>8040.3</v>
      </c>
    </row>
    <row r="326" spans="1:17" hidden="1" x14ac:dyDescent="0.25">
      <c r="A326" s="2" t="s">
        <v>1005</v>
      </c>
      <c r="B326" s="2" t="s">
        <v>50</v>
      </c>
      <c r="C326" s="2" t="s">
        <v>51</v>
      </c>
      <c r="D326" s="2" t="s">
        <v>29</v>
      </c>
      <c r="E326" s="2">
        <v>51</v>
      </c>
      <c r="F326" s="2" t="s">
        <v>45</v>
      </c>
      <c r="G326" s="2" t="s">
        <v>31</v>
      </c>
      <c r="H326" s="2" t="s">
        <v>1006</v>
      </c>
      <c r="I326" s="2">
        <v>82902</v>
      </c>
      <c r="J326" s="2" t="s">
        <v>86</v>
      </c>
      <c r="K326" s="2" t="s">
        <v>1007</v>
      </c>
      <c r="L326" s="2" t="s">
        <v>42</v>
      </c>
      <c r="M326" s="2" t="str">
        <f>VLOOKUP(F326,Departments!$A$1:$C$6,2,0)</f>
        <v>Marketing</v>
      </c>
      <c r="N326" s="2" t="str">
        <f>INDEX(Departments!$B$1:$B$6, MATCH(Employees!F326, Departments!$A$1:$A$6, 0))</f>
        <v>Marketing</v>
      </c>
      <c r="O326" s="3" t="str">
        <f>INDEX(Departments!$B$2:$B$6,MATCH(Employees!F326,Departments!$A$2:$A$6,0))</f>
        <v>Marketing</v>
      </c>
      <c r="P326" s="3">
        <f>INDEX(Performance!$C$2:$C$501,MATCH(Employees!A326,Performance!$A$2:$A$501,0))</f>
        <v>1</v>
      </c>
      <c r="Q326" s="4">
        <f t="shared" si="5"/>
        <v>4145.1000000000004</v>
      </c>
    </row>
    <row r="327" spans="1:17" hidden="1" x14ac:dyDescent="0.25">
      <c r="A327" s="2" t="s">
        <v>1008</v>
      </c>
      <c r="B327" s="2" t="s">
        <v>18</v>
      </c>
      <c r="C327" s="2" t="s">
        <v>171</v>
      </c>
      <c r="D327" s="2" t="s">
        <v>29</v>
      </c>
      <c r="E327" s="2">
        <v>46</v>
      </c>
      <c r="F327" s="2" t="s">
        <v>45</v>
      </c>
      <c r="G327" s="2" t="s">
        <v>114</v>
      </c>
      <c r="H327" s="2" t="s">
        <v>1009</v>
      </c>
      <c r="I327" s="2">
        <v>89841</v>
      </c>
      <c r="J327" s="2" t="s">
        <v>86</v>
      </c>
      <c r="K327" s="2" t="s">
        <v>1010</v>
      </c>
      <c r="L327" s="2" t="s">
        <v>26</v>
      </c>
      <c r="M327" s="2" t="str">
        <f>VLOOKUP(F327,Departments!$A$1:$C$6,2,0)</f>
        <v>Marketing</v>
      </c>
      <c r="N327" s="2" t="str">
        <f>INDEX(Departments!$B$1:$B$6, MATCH(Employees!F327, Departments!$A$1:$A$6, 0))</f>
        <v>Marketing</v>
      </c>
      <c r="O327" s="3" t="str">
        <f>INDEX(Departments!$B$2:$B$6,MATCH(Employees!F327,Departments!$A$2:$A$6,0))</f>
        <v>Marketing</v>
      </c>
      <c r="P327" s="3">
        <f>INDEX(Performance!$C$2:$C$501,MATCH(Employees!A327,Performance!$A$2:$A$501,0))</f>
        <v>1</v>
      </c>
      <c r="Q327" s="4">
        <f t="shared" si="5"/>
        <v>4492.05</v>
      </c>
    </row>
    <row r="328" spans="1:17" hidden="1" x14ac:dyDescent="0.25">
      <c r="A328" s="2" t="s">
        <v>1011</v>
      </c>
      <c r="B328" s="2" t="s">
        <v>60</v>
      </c>
      <c r="C328" s="2" t="s">
        <v>96</v>
      </c>
      <c r="D328" s="2" t="s">
        <v>29</v>
      </c>
      <c r="E328" s="2">
        <v>36</v>
      </c>
      <c r="F328" s="2" t="s">
        <v>30</v>
      </c>
      <c r="G328" s="2" t="s">
        <v>31</v>
      </c>
      <c r="H328" s="2" t="s">
        <v>1012</v>
      </c>
      <c r="I328" s="2">
        <v>112396</v>
      </c>
      <c r="J328" s="2" t="s">
        <v>66</v>
      </c>
      <c r="K328" s="2" t="s">
        <v>1013</v>
      </c>
      <c r="L328" s="2" t="s">
        <v>26</v>
      </c>
      <c r="M328" s="2" t="str">
        <f>VLOOKUP(F328,Departments!$A$1:$C$6,2,0)</f>
        <v>IT</v>
      </c>
      <c r="N328" s="2" t="str">
        <f>INDEX(Departments!$B$1:$B$6, MATCH(Employees!F328, Departments!$A$1:$A$6, 0))</f>
        <v>IT</v>
      </c>
      <c r="O328" s="3" t="str">
        <f>INDEX(Departments!$B$2:$B$6,MATCH(Employees!F328,Departments!$A$2:$A$6,0))</f>
        <v>IT</v>
      </c>
      <c r="P328" s="3">
        <f>INDEX(Performance!$C$2:$C$501,MATCH(Employees!A328,Performance!$A$2:$A$501,0))</f>
        <v>5</v>
      </c>
      <c r="Q328" s="4">
        <f t="shared" si="5"/>
        <v>16859.399999999998</v>
      </c>
    </row>
    <row r="329" spans="1:17" hidden="1" x14ac:dyDescent="0.25">
      <c r="A329" s="2" t="s">
        <v>1014</v>
      </c>
      <c r="B329" s="2" t="s">
        <v>60</v>
      </c>
      <c r="C329" s="2" t="s">
        <v>28</v>
      </c>
      <c r="D329" s="2" t="s">
        <v>29</v>
      </c>
      <c r="E329" s="2">
        <v>39</v>
      </c>
      <c r="F329" s="2" t="s">
        <v>21</v>
      </c>
      <c r="G329" s="2" t="s">
        <v>114</v>
      </c>
      <c r="H329" s="2" t="s">
        <v>1015</v>
      </c>
      <c r="I329" s="2">
        <v>91433</v>
      </c>
      <c r="J329" s="2" t="s">
        <v>86</v>
      </c>
      <c r="K329" s="2" t="s">
        <v>1016</v>
      </c>
      <c r="L329" s="2" t="s">
        <v>42</v>
      </c>
      <c r="M329" s="2" t="str">
        <f>VLOOKUP(F329,Departments!$A$1:$C$6,2,0)</f>
        <v>HR</v>
      </c>
      <c r="N329" s="2" t="str">
        <f>INDEX(Departments!$B$1:$B$6, MATCH(Employees!F329, Departments!$A$1:$A$6, 0))</f>
        <v>HR</v>
      </c>
      <c r="O329" s="3" t="str">
        <f>INDEX(Departments!$B$2:$B$6,MATCH(Employees!F329,Departments!$A$2:$A$6,0))</f>
        <v>HR</v>
      </c>
      <c r="P329" s="3">
        <f>INDEX(Performance!$C$2:$C$501,MATCH(Employees!A329,Performance!$A$2:$A$501,0))</f>
        <v>5</v>
      </c>
      <c r="Q329" s="4">
        <f t="shared" si="5"/>
        <v>13714.949999999999</v>
      </c>
    </row>
    <row r="330" spans="1:17" hidden="1" x14ac:dyDescent="0.25">
      <c r="A330" s="2" t="s">
        <v>1017</v>
      </c>
      <c r="B330" s="2" t="s">
        <v>55</v>
      </c>
      <c r="C330" s="2" t="s">
        <v>101</v>
      </c>
      <c r="D330" s="2" t="s">
        <v>20</v>
      </c>
      <c r="E330" s="2">
        <v>58</v>
      </c>
      <c r="F330" s="2" t="s">
        <v>45</v>
      </c>
      <c r="G330" s="2" t="s">
        <v>38</v>
      </c>
      <c r="H330" s="2" t="s">
        <v>1018</v>
      </c>
      <c r="I330" s="2">
        <v>75628</v>
      </c>
      <c r="J330" s="2" t="s">
        <v>66</v>
      </c>
      <c r="K330" s="2" t="s">
        <v>1019</v>
      </c>
      <c r="L330" s="2" t="s">
        <v>26</v>
      </c>
      <c r="M330" s="2" t="str">
        <f>VLOOKUP(F330,Departments!$A$1:$C$6,2,0)</f>
        <v>Marketing</v>
      </c>
      <c r="N330" s="2" t="str">
        <f>INDEX(Departments!$B$1:$B$6, MATCH(Employees!F330, Departments!$A$1:$A$6, 0))</f>
        <v>Marketing</v>
      </c>
      <c r="O330" s="3" t="str">
        <f>INDEX(Departments!$B$2:$B$6,MATCH(Employees!F330,Departments!$A$2:$A$6,0))</f>
        <v>Marketing</v>
      </c>
      <c r="P330" s="3">
        <f>INDEX(Performance!$C$2:$C$501,MATCH(Employees!A330,Performance!$A$2:$A$501,0))</f>
        <v>5</v>
      </c>
      <c r="Q330" s="4">
        <f t="shared" si="5"/>
        <v>11344.199999999999</v>
      </c>
    </row>
    <row r="331" spans="1:17" hidden="1" x14ac:dyDescent="0.25">
      <c r="A331" s="2" t="s">
        <v>1020</v>
      </c>
      <c r="B331" s="2" t="s">
        <v>18</v>
      </c>
      <c r="C331" s="2" t="s">
        <v>51</v>
      </c>
      <c r="D331" s="2" t="s">
        <v>20</v>
      </c>
      <c r="E331" s="2">
        <v>56</v>
      </c>
      <c r="F331" s="2" t="s">
        <v>56</v>
      </c>
      <c r="G331" s="2" t="s">
        <v>22</v>
      </c>
      <c r="H331" s="2" t="s">
        <v>1021</v>
      </c>
      <c r="I331" s="2">
        <v>68036</v>
      </c>
      <c r="J331" s="2" t="s">
        <v>86</v>
      </c>
      <c r="K331" s="2" t="s">
        <v>1022</v>
      </c>
      <c r="L331" s="2" t="s">
        <v>42</v>
      </c>
      <c r="M331" s="2" t="str">
        <f>VLOOKUP(F331,Departments!$A$1:$C$6,2,0)</f>
        <v>Finance</v>
      </c>
      <c r="N331" s="2" t="str">
        <f>INDEX(Departments!$B$1:$B$6, MATCH(Employees!F331, Departments!$A$1:$A$6, 0))</f>
        <v>Finance</v>
      </c>
      <c r="O331" s="3" t="str">
        <f>INDEX(Departments!$B$2:$B$6,MATCH(Employees!F331,Departments!$A$2:$A$6,0))</f>
        <v>Finance</v>
      </c>
      <c r="P331" s="3">
        <f>INDEX(Performance!$C$2:$C$501,MATCH(Employees!A331,Performance!$A$2:$A$501,0))</f>
        <v>1</v>
      </c>
      <c r="Q331" s="4">
        <f t="shared" si="5"/>
        <v>3401.8</v>
      </c>
    </row>
    <row r="332" spans="1:17" hidden="1" x14ac:dyDescent="0.25">
      <c r="A332" s="2" t="s">
        <v>1023</v>
      </c>
      <c r="B332" s="2" t="s">
        <v>100</v>
      </c>
      <c r="C332" s="2" t="s">
        <v>84</v>
      </c>
      <c r="D332" s="2" t="s">
        <v>29</v>
      </c>
      <c r="E332" s="2">
        <v>50</v>
      </c>
      <c r="F332" s="2" t="s">
        <v>21</v>
      </c>
      <c r="G332" s="2" t="s">
        <v>114</v>
      </c>
      <c r="H332" s="2" t="s">
        <v>1024</v>
      </c>
      <c r="I332" s="2">
        <v>61746</v>
      </c>
      <c r="J332" s="2" t="s">
        <v>71</v>
      </c>
      <c r="K332" s="2" t="s">
        <v>1025</v>
      </c>
      <c r="L332" s="2" t="s">
        <v>42</v>
      </c>
      <c r="M332" s="2" t="str">
        <f>VLOOKUP(F332,Departments!$A$1:$C$6,2,0)</f>
        <v>HR</v>
      </c>
      <c r="N332" s="2" t="str">
        <f>INDEX(Departments!$B$1:$B$6, MATCH(Employees!F332, Departments!$A$1:$A$6, 0))</f>
        <v>HR</v>
      </c>
      <c r="O332" s="3" t="str">
        <f>INDEX(Departments!$B$2:$B$6,MATCH(Employees!F332,Departments!$A$2:$A$6,0))</f>
        <v>HR</v>
      </c>
      <c r="P332" s="3">
        <f>INDEX(Performance!$C$2:$C$501,MATCH(Employees!A332,Performance!$A$2:$A$501,0))</f>
        <v>1</v>
      </c>
      <c r="Q332" s="4">
        <f t="shared" si="5"/>
        <v>3087.3</v>
      </c>
    </row>
    <row r="333" spans="1:17" hidden="1" x14ac:dyDescent="0.25">
      <c r="A333" s="2" t="s">
        <v>1026</v>
      </c>
      <c r="B333" s="2" t="s">
        <v>149</v>
      </c>
      <c r="C333" s="2" t="s">
        <v>69</v>
      </c>
      <c r="D333" s="2" t="s">
        <v>20</v>
      </c>
      <c r="E333" s="2">
        <v>26</v>
      </c>
      <c r="F333" s="2" t="s">
        <v>21</v>
      </c>
      <c r="G333" s="2" t="s">
        <v>114</v>
      </c>
      <c r="H333" s="2" t="s">
        <v>516</v>
      </c>
      <c r="I333" s="2">
        <v>47221</v>
      </c>
      <c r="J333" s="2" t="s">
        <v>66</v>
      </c>
      <c r="K333" s="2" t="s">
        <v>1027</v>
      </c>
      <c r="L333" s="2" t="s">
        <v>42</v>
      </c>
      <c r="M333" s="2" t="str">
        <f>VLOOKUP(F333,Departments!$A$1:$C$6,2,0)</f>
        <v>HR</v>
      </c>
      <c r="N333" s="2" t="str">
        <f>INDEX(Departments!$B$1:$B$6, MATCH(Employees!F333, Departments!$A$1:$A$6, 0))</f>
        <v>HR</v>
      </c>
      <c r="O333" s="3" t="str">
        <f>INDEX(Departments!$B$2:$B$6,MATCH(Employees!F333,Departments!$A$2:$A$6,0))</f>
        <v>HR</v>
      </c>
      <c r="P333" s="3">
        <f>INDEX(Performance!$C$2:$C$501,MATCH(Employees!A333,Performance!$A$2:$A$501,0))</f>
        <v>5</v>
      </c>
      <c r="Q333" s="4">
        <f t="shared" si="5"/>
        <v>7083.15</v>
      </c>
    </row>
    <row r="334" spans="1:17" hidden="1" x14ac:dyDescent="0.25">
      <c r="A334" s="2" t="s">
        <v>1028</v>
      </c>
      <c r="B334" s="2" t="s">
        <v>77</v>
      </c>
      <c r="C334" s="2" t="s">
        <v>171</v>
      </c>
      <c r="D334" s="2" t="s">
        <v>20</v>
      </c>
      <c r="E334" s="2">
        <v>32</v>
      </c>
      <c r="F334" s="2" t="s">
        <v>37</v>
      </c>
      <c r="G334" s="2" t="s">
        <v>114</v>
      </c>
      <c r="H334" s="2" t="s">
        <v>1029</v>
      </c>
      <c r="I334" s="2">
        <v>75595</v>
      </c>
      <c r="J334" s="2" t="s">
        <v>24</v>
      </c>
      <c r="K334" s="2" t="s">
        <v>1030</v>
      </c>
      <c r="L334" s="2" t="s">
        <v>26</v>
      </c>
      <c r="M334" s="2" t="str">
        <f>VLOOKUP(F334,Departments!$A$1:$C$6,2,0)</f>
        <v>Sales</v>
      </c>
      <c r="N334" s="2" t="str">
        <f>INDEX(Departments!$B$1:$B$6, MATCH(Employees!F334, Departments!$A$1:$A$6, 0))</f>
        <v>Sales</v>
      </c>
      <c r="O334" s="3" t="str">
        <f>INDEX(Departments!$B$2:$B$6,MATCH(Employees!F334,Departments!$A$2:$A$6,0))</f>
        <v>Sales</v>
      </c>
      <c r="P334" s="3">
        <f>INDEX(Performance!$C$2:$C$501,MATCH(Employees!A334,Performance!$A$2:$A$501,0))</f>
        <v>3</v>
      </c>
      <c r="Q334" s="4">
        <f t="shared" si="5"/>
        <v>5291.6500000000005</v>
      </c>
    </row>
    <row r="335" spans="1:17" hidden="1" x14ac:dyDescent="0.25">
      <c r="A335" s="2" t="s">
        <v>1031</v>
      </c>
      <c r="B335" s="2" t="s">
        <v>44</v>
      </c>
      <c r="C335" s="2" t="s">
        <v>89</v>
      </c>
      <c r="D335" s="2" t="s">
        <v>20</v>
      </c>
      <c r="E335" s="2">
        <v>46</v>
      </c>
      <c r="F335" s="2" t="s">
        <v>56</v>
      </c>
      <c r="G335" s="2" t="s">
        <v>22</v>
      </c>
      <c r="H335" s="2" t="s">
        <v>1032</v>
      </c>
      <c r="I335" s="2">
        <v>104179</v>
      </c>
      <c r="J335" s="2" t="s">
        <v>40</v>
      </c>
      <c r="K335" s="2" t="s">
        <v>1033</v>
      </c>
      <c r="L335" s="2" t="s">
        <v>42</v>
      </c>
      <c r="M335" s="2" t="str">
        <f>VLOOKUP(F335,Departments!$A$1:$C$6,2,0)</f>
        <v>Finance</v>
      </c>
      <c r="N335" s="2" t="str">
        <f>INDEX(Departments!$B$1:$B$6, MATCH(Employees!F335, Departments!$A$1:$A$6, 0))</f>
        <v>Finance</v>
      </c>
      <c r="O335" s="3" t="str">
        <f>INDEX(Departments!$B$2:$B$6,MATCH(Employees!F335,Departments!$A$2:$A$6,0))</f>
        <v>Finance</v>
      </c>
      <c r="P335" s="3">
        <f>INDEX(Performance!$C$2:$C$501,MATCH(Employees!A335,Performance!$A$2:$A$501,0))</f>
        <v>3</v>
      </c>
      <c r="Q335" s="4">
        <f t="shared" si="5"/>
        <v>7292.5300000000007</v>
      </c>
    </row>
    <row r="336" spans="1:17" hidden="1" x14ac:dyDescent="0.25">
      <c r="A336" s="2" t="s">
        <v>1034</v>
      </c>
      <c r="B336" s="2" t="s">
        <v>50</v>
      </c>
      <c r="C336" s="2" t="s">
        <v>136</v>
      </c>
      <c r="D336" s="2" t="s">
        <v>20</v>
      </c>
      <c r="E336" s="2">
        <v>37</v>
      </c>
      <c r="F336" s="2" t="s">
        <v>21</v>
      </c>
      <c r="G336" s="2" t="s">
        <v>114</v>
      </c>
      <c r="H336" s="2" t="s">
        <v>1035</v>
      </c>
      <c r="I336" s="2">
        <v>46212</v>
      </c>
      <c r="J336" s="2" t="s">
        <v>24</v>
      </c>
      <c r="K336" s="2" t="s">
        <v>1036</v>
      </c>
      <c r="L336" s="2" t="s">
        <v>26</v>
      </c>
      <c r="M336" s="2" t="str">
        <f>VLOOKUP(F336,Departments!$A$1:$C$6,2,0)</f>
        <v>HR</v>
      </c>
      <c r="N336" s="2" t="str">
        <f>INDEX(Departments!$B$1:$B$6, MATCH(Employees!F336, Departments!$A$1:$A$6, 0))</f>
        <v>HR</v>
      </c>
      <c r="O336" s="3" t="str">
        <f>INDEX(Departments!$B$2:$B$6,MATCH(Employees!F336,Departments!$A$2:$A$6,0))</f>
        <v>HR</v>
      </c>
      <c r="P336" s="3">
        <f>INDEX(Performance!$C$2:$C$501,MATCH(Employees!A336,Performance!$A$2:$A$501,0))</f>
        <v>1</v>
      </c>
      <c r="Q336" s="4">
        <f t="shared" si="5"/>
        <v>2310.6</v>
      </c>
    </row>
    <row r="337" spans="1:17" hidden="1" x14ac:dyDescent="0.25">
      <c r="A337" s="2" t="s">
        <v>1037</v>
      </c>
      <c r="B337" s="2" t="s">
        <v>64</v>
      </c>
      <c r="C337" s="2" t="s">
        <v>96</v>
      </c>
      <c r="D337" s="2" t="s">
        <v>29</v>
      </c>
      <c r="E337" s="2">
        <v>47</v>
      </c>
      <c r="F337" s="2" t="s">
        <v>45</v>
      </c>
      <c r="G337" s="2" t="s">
        <v>46</v>
      </c>
      <c r="H337" s="2" t="s">
        <v>1038</v>
      </c>
      <c r="I337" s="2">
        <v>39091</v>
      </c>
      <c r="J337" s="2" t="s">
        <v>86</v>
      </c>
      <c r="K337" s="2" t="s">
        <v>1039</v>
      </c>
      <c r="L337" s="2" t="s">
        <v>26</v>
      </c>
      <c r="M337" s="2" t="str">
        <f>VLOOKUP(F337,Departments!$A$1:$C$6,2,0)</f>
        <v>Marketing</v>
      </c>
      <c r="N337" s="2" t="str">
        <f>INDEX(Departments!$B$1:$B$6, MATCH(Employees!F337, Departments!$A$1:$A$6, 0))</f>
        <v>Marketing</v>
      </c>
      <c r="O337" s="3" t="str">
        <f>INDEX(Departments!$B$2:$B$6,MATCH(Employees!F337,Departments!$A$2:$A$6,0))</f>
        <v>Marketing</v>
      </c>
      <c r="P337" s="3">
        <f>INDEX(Performance!$C$2:$C$501,MATCH(Employees!A337,Performance!$A$2:$A$501,0))</f>
        <v>2</v>
      </c>
      <c r="Q337" s="4">
        <f t="shared" si="5"/>
        <v>1954.5500000000002</v>
      </c>
    </row>
    <row r="338" spans="1:17" hidden="1" x14ac:dyDescent="0.25">
      <c r="A338" s="2" t="s">
        <v>1040</v>
      </c>
      <c r="B338" s="2" t="s">
        <v>36</v>
      </c>
      <c r="C338" s="2" t="s">
        <v>89</v>
      </c>
      <c r="D338" s="2" t="s">
        <v>29</v>
      </c>
      <c r="E338" s="2">
        <v>43</v>
      </c>
      <c r="F338" s="2" t="s">
        <v>37</v>
      </c>
      <c r="G338" s="2" t="s">
        <v>46</v>
      </c>
      <c r="H338" s="2" t="s">
        <v>1041</v>
      </c>
      <c r="I338" s="2">
        <v>73436</v>
      </c>
      <c r="J338" s="2" t="s">
        <v>66</v>
      </c>
      <c r="K338" s="2" t="s">
        <v>1042</v>
      </c>
      <c r="L338" s="2" t="s">
        <v>42</v>
      </c>
      <c r="M338" s="2" t="str">
        <f>VLOOKUP(F338,Departments!$A$1:$C$6,2,0)</f>
        <v>Sales</v>
      </c>
      <c r="N338" s="2" t="str">
        <f>INDEX(Departments!$B$1:$B$6, MATCH(Employees!F338, Departments!$A$1:$A$6, 0))</f>
        <v>Sales</v>
      </c>
      <c r="O338" s="3" t="str">
        <f>INDEX(Departments!$B$2:$B$6,MATCH(Employees!F338,Departments!$A$2:$A$6,0))</f>
        <v>Sales</v>
      </c>
      <c r="P338" s="3">
        <f>INDEX(Performance!$C$2:$C$501,MATCH(Employees!A338,Performance!$A$2:$A$501,0))</f>
        <v>1</v>
      </c>
      <c r="Q338" s="4">
        <f t="shared" si="5"/>
        <v>3671.8</v>
      </c>
    </row>
    <row r="339" spans="1:17" hidden="1" x14ac:dyDescent="0.25">
      <c r="A339" s="2" t="s">
        <v>1043</v>
      </c>
      <c r="B339" s="2" t="s">
        <v>149</v>
      </c>
      <c r="C339" s="2" t="s">
        <v>84</v>
      </c>
      <c r="D339" s="2" t="s">
        <v>20</v>
      </c>
      <c r="E339" s="2">
        <v>57</v>
      </c>
      <c r="F339" s="2" t="s">
        <v>30</v>
      </c>
      <c r="G339" s="2" t="s">
        <v>46</v>
      </c>
      <c r="H339" s="2" t="s">
        <v>1044</v>
      </c>
      <c r="I339" s="2">
        <v>62199</v>
      </c>
      <c r="J339" s="2" t="s">
        <v>66</v>
      </c>
      <c r="K339" s="2" t="s">
        <v>1045</v>
      </c>
      <c r="L339" s="2" t="s">
        <v>26</v>
      </c>
      <c r="M339" s="2" t="str">
        <f>VLOOKUP(F339,Departments!$A$1:$C$6,2,0)</f>
        <v>IT</v>
      </c>
      <c r="N339" s="2" t="str">
        <f>INDEX(Departments!$B$1:$B$6, MATCH(Employees!F339, Departments!$A$1:$A$6, 0))</f>
        <v>IT</v>
      </c>
      <c r="O339" s="3" t="str">
        <f>INDEX(Departments!$B$2:$B$6,MATCH(Employees!F339,Departments!$A$2:$A$6,0))</f>
        <v>IT</v>
      </c>
      <c r="P339" s="3">
        <f>INDEX(Performance!$C$2:$C$501,MATCH(Employees!A339,Performance!$A$2:$A$501,0))</f>
        <v>1</v>
      </c>
      <c r="Q339" s="4">
        <f t="shared" si="5"/>
        <v>3109.9500000000003</v>
      </c>
    </row>
    <row r="340" spans="1:17" hidden="1" x14ac:dyDescent="0.25">
      <c r="A340" s="2" t="s">
        <v>1046</v>
      </c>
      <c r="B340" s="2" t="s">
        <v>60</v>
      </c>
      <c r="C340" s="2" t="s">
        <v>101</v>
      </c>
      <c r="D340" s="2" t="s">
        <v>29</v>
      </c>
      <c r="E340" s="2">
        <v>41</v>
      </c>
      <c r="F340" s="2" t="s">
        <v>56</v>
      </c>
      <c r="G340" s="2" t="s">
        <v>31</v>
      </c>
      <c r="H340" s="2" t="s">
        <v>1047</v>
      </c>
      <c r="I340" s="2">
        <v>53338</v>
      </c>
      <c r="J340" s="2" t="s">
        <v>40</v>
      </c>
      <c r="K340" s="2" t="s">
        <v>1048</v>
      </c>
      <c r="L340" s="2" t="s">
        <v>26</v>
      </c>
      <c r="M340" s="2" t="str">
        <f>VLOOKUP(F340,Departments!$A$1:$C$6,2,0)</f>
        <v>Finance</v>
      </c>
      <c r="N340" s="2" t="str">
        <f>INDEX(Departments!$B$1:$B$6, MATCH(Employees!F340, Departments!$A$1:$A$6, 0))</f>
        <v>Finance</v>
      </c>
      <c r="O340" s="3" t="str">
        <f>INDEX(Departments!$B$2:$B$6,MATCH(Employees!F340,Departments!$A$2:$A$6,0))</f>
        <v>Finance</v>
      </c>
      <c r="P340" s="3">
        <f>INDEX(Performance!$C$2:$C$501,MATCH(Employees!A340,Performance!$A$2:$A$501,0))</f>
        <v>3</v>
      </c>
      <c r="Q340" s="4">
        <f t="shared" si="5"/>
        <v>3733.6600000000003</v>
      </c>
    </row>
    <row r="341" spans="1:17" hidden="1" x14ac:dyDescent="0.25">
      <c r="A341" s="2" t="s">
        <v>1049</v>
      </c>
      <c r="B341" s="2" t="s">
        <v>100</v>
      </c>
      <c r="C341" s="2" t="s">
        <v>51</v>
      </c>
      <c r="D341" s="2" t="s">
        <v>20</v>
      </c>
      <c r="E341" s="2">
        <v>38</v>
      </c>
      <c r="F341" s="2" t="s">
        <v>30</v>
      </c>
      <c r="G341" s="2" t="s">
        <v>114</v>
      </c>
      <c r="H341" s="2" t="s">
        <v>1050</v>
      </c>
      <c r="I341" s="2">
        <v>64542</v>
      </c>
      <c r="J341" s="2" t="s">
        <v>71</v>
      </c>
      <c r="K341" s="2" t="s">
        <v>1051</v>
      </c>
      <c r="L341" s="2" t="s">
        <v>26</v>
      </c>
      <c r="M341" s="2" t="str">
        <f>VLOOKUP(F341,Departments!$A$1:$C$6,2,0)</f>
        <v>IT</v>
      </c>
      <c r="N341" s="2" t="str">
        <f>INDEX(Departments!$B$1:$B$6, MATCH(Employees!F341, Departments!$A$1:$A$6, 0))</f>
        <v>IT</v>
      </c>
      <c r="O341" s="3" t="str">
        <f>INDEX(Departments!$B$2:$B$6,MATCH(Employees!F341,Departments!$A$2:$A$6,0))</f>
        <v>IT</v>
      </c>
      <c r="P341" s="3">
        <f>INDEX(Performance!$C$2:$C$501,MATCH(Employees!A341,Performance!$A$2:$A$501,0))</f>
        <v>3</v>
      </c>
      <c r="Q341" s="4">
        <f t="shared" si="5"/>
        <v>4517.9400000000005</v>
      </c>
    </row>
    <row r="342" spans="1:17" hidden="1" x14ac:dyDescent="0.25">
      <c r="A342" s="2" t="s">
        <v>1052</v>
      </c>
      <c r="B342" s="2" t="s">
        <v>64</v>
      </c>
      <c r="C342" s="2" t="s">
        <v>136</v>
      </c>
      <c r="D342" s="2" t="s">
        <v>20</v>
      </c>
      <c r="E342" s="2">
        <v>59</v>
      </c>
      <c r="F342" s="2" t="s">
        <v>37</v>
      </c>
      <c r="G342" s="2" t="s">
        <v>114</v>
      </c>
      <c r="H342" s="2" t="s">
        <v>1053</v>
      </c>
      <c r="I342" s="2">
        <v>38117</v>
      </c>
      <c r="J342" s="2" t="s">
        <v>40</v>
      </c>
      <c r="K342" s="2" t="s">
        <v>1054</v>
      </c>
      <c r="L342" s="2" t="s">
        <v>26</v>
      </c>
      <c r="M342" s="2" t="str">
        <f>VLOOKUP(F342,Departments!$A$1:$C$6,2,0)</f>
        <v>Sales</v>
      </c>
      <c r="N342" s="2" t="str">
        <f>INDEX(Departments!$B$1:$B$6, MATCH(Employees!F342, Departments!$A$1:$A$6, 0))</f>
        <v>Sales</v>
      </c>
      <c r="O342" s="3" t="str">
        <f>INDEX(Departments!$B$2:$B$6,MATCH(Employees!F342,Departments!$A$2:$A$6,0))</f>
        <v>Sales</v>
      </c>
      <c r="P342" s="3">
        <f>INDEX(Performance!$C$2:$C$501,MATCH(Employees!A342,Performance!$A$2:$A$501,0))</f>
        <v>2</v>
      </c>
      <c r="Q342" s="4">
        <f t="shared" si="5"/>
        <v>1905.8500000000001</v>
      </c>
    </row>
    <row r="343" spans="1:17" hidden="1" x14ac:dyDescent="0.25">
      <c r="A343" s="2" t="s">
        <v>1055</v>
      </c>
      <c r="B343" s="2" t="s">
        <v>36</v>
      </c>
      <c r="C343" s="2" t="s">
        <v>89</v>
      </c>
      <c r="D343" s="2" t="s">
        <v>29</v>
      </c>
      <c r="E343" s="2">
        <v>25</v>
      </c>
      <c r="F343" s="2" t="s">
        <v>21</v>
      </c>
      <c r="G343" s="2" t="s">
        <v>114</v>
      </c>
      <c r="H343" s="2" t="s">
        <v>1056</v>
      </c>
      <c r="I343" s="2">
        <v>101879</v>
      </c>
      <c r="J343" s="2" t="s">
        <v>24</v>
      </c>
      <c r="K343" s="2" t="s">
        <v>1057</v>
      </c>
      <c r="L343" s="2" t="s">
        <v>26</v>
      </c>
      <c r="M343" s="2" t="str">
        <f>VLOOKUP(F343,Departments!$A$1:$C$6,2,0)</f>
        <v>HR</v>
      </c>
      <c r="N343" s="2" t="str">
        <f>INDEX(Departments!$B$1:$B$6, MATCH(Employees!F343, Departments!$A$1:$A$6, 0))</f>
        <v>HR</v>
      </c>
      <c r="O343" s="3" t="str">
        <f>INDEX(Departments!$B$2:$B$6,MATCH(Employees!F343,Departments!$A$2:$A$6,0))</f>
        <v>HR</v>
      </c>
      <c r="P343" s="3">
        <f>INDEX(Performance!$C$2:$C$501,MATCH(Employees!A343,Performance!$A$2:$A$501,0))</f>
        <v>5</v>
      </c>
      <c r="Q343" s="4">
        <f t="shared" si="5"/>
        <v>15281.849999999999</v>
      </c>
    </row>
    <row r="344" spans="1:17" hidden="1" x14ac:dyDescent="0.25">
      <c r="A344" s="2" t="s">
        <v>1058</v>
      </c>
      <c r="B344" s="2" t="s">
        <v>77</v>
      </c>
      <c r="C344" s="2" t="s">
        <v>28</v>
      </c>
      <c r="D344" s="2" t="s">
        <v>29</v>
      </c>
      <c r="E344" s="2">
        <v>43</v>
      </c>
      <c r="F344" s="2" t="s">
        <v>30</v>
      </c>
      <c r="G344" s="2" t="s">
        <v>114</v>
      </c>
      <c r="H344" s="2" t="s">
        <v>1059</v>
      </c>
      <c r="I344" s="2">
        <v>78777</v>
      </c>
      <c r="J344" s="2" t="s">
        <v>71</v>
      </c>
      <c r="K344" s="2" t="s">
        <v>1060</v>
      </c>
      <c r="L344" s="2" t="s">
        <v>26</v>
      </c>
      <c r="M344" s="2" t="str">
        <f>VLOOKUP(F344,Departments!$A$1:$C$6,2,0)</f>
        <v>IT</v>
      </c>
      <c r="N344" s="2" t="str">
        <f>INDEX(Departments!$B$1:$B$6, MATCH(Employees!F344, Departments!$A$1:$A$6, 0))</f>
        <v>IT</v>
      </c>
      <c r="O344" s="3" t="str">
        <f>INDEX(Departments!$B$2:$B$6,MATCH(Employees!F344,Departments!$A$2:$A$6,0))</f>
        <v>IT</v>
      </c>
      <c r="P344" s="3">
        <f>INDEX(Performance!$C$2:$C$501,MATCH(Employees!A344,Performance!$A$2:$A$501,0))</f>
        <v>4</v>
      </c>
      <c r="Q344" s="4">
        <f t="shared" si="5"/>
        <v>7877.7000000000007</v>
      </c>
    </row>
    <row r="345" spans="1:17" hidden="1" x14ac:dyDescent="0.25">
      <c r="A345" s="2" t="s">
        <v>1061</v>
      </c>
      <c r="B345" s="2" t="s">
        <v>36</v>
      </c>
      <c r="C345" s="2" t="s">
        <v>101</v>
      </c>
      <c r="D345" s="2" t="s">
        <v>20</v>
      </c>
      <c r="E345" s="2">
        <v>33</v>
      </c>
      <c r="F345" s="2" t="s">
        <v>21</v>
      </c>
      <c r="G345" s="2" t="s">
        <v>114</v>
      </c>
      <c r="H345" s="2" t="s">
        <v>1062</v>
      </c>
      <c r="I345" s="2">
        <v>43206</v>
      </c>
      <c r="J345" s="2" t="s">
        <v>71</v>
      </c>
      <c r="K345" s="2" t="s">
        <v>1063</v>
      </c>
      <c r="L345" s="2" t="s">
        <v>42</v>
      </c>
      <c r="M345" s="2" t="str">
        <f>VLOOKUP(F345,Departments!$A$1:$C$6,2,0)</f>
        <v>HR</v>
      </c>
      <c r="N345" s="2" t="str">
        <f>INDEX(Departments!$B$1:$B$6, MATCH(Employees!F345, Departments!$A$1:$A$6, 0))</f>
        <v>HR</v>
      </c>
      <c r="O345" s="3" t="str">
        <f>INDEX(Departments!$B$2:$B$6,MATCH(Employees!F345,Departments!$A$2:$A$6,0))</f>
        <v>HR</v>
      </c>
      <c r="P345" s="3">
        <f>INDEX(Performance!$C$2:$C$501,MATCH(Employees!A345,Performance!$A$2:$A$501,0))</f>
        <v>5</v>
      </c>
      <c r="Q345" s="4">
        <f t="shared" si="5"/>
        <v>6480.9</v>
      </c>
    </row>
    <row r="346" spans="1:17" hidden="1" x14ac:dyDescent="0.25">
      <c r="A346" s="2" t="s">
        <v>1064</v>
      </c>
      <c r="B346" s="2" t="s">
        <v>77</v>
      </c>
      <c r="C346" s="2" t="s">
        <v>96</v>
      </c>
      <c r="D346" s="2" t="s">
        <v>20</v>
      </c>
      <c r="E346" s="2">
        <v>42</v>
      </c>
      <c r="F346" s="2" t="s">
        <v>56</v>
      </c>
      <c r="G346" s="2" t="s">
        <v>31</v>
      </c>
      <c r="H346" s="2" t="s">
        <v>1065</v>
      </c>
      <c r="I346" s="2">
        <v>80745</v>
      </c>
      <c r="J346" s="2" t="s">
        <v>86</v>
      </c>
      <c r="K346" s="2" t="s">
        <v>1066</v>
      </c>
      <c r="L346" s="2" t="s">
        <v>42</v>
      </c>
      <c r="M346" s="2" t="str">
        <f>VLOOKUP(F346,Departments!$A$1:$C$6,2,0)</f>
        <v>Finance</v>
      </c>
      <c r="N346" s="2" t="str">
        <f>INDEX(Departments!$B$1:$B$6, MATCH(Employees!F346, Departments!$A$1:$A$6, 0))</f>
        <v>Finance</v>
      </c>
      <c r="O346" s="3" t="str">
        <f>INDEX(Departments!$B$2:$B$6,MATCH(Employees!F346,Departments!$A$2:$A$6,0))</f>
        <v>Finance</v>
      </c>
      <c r="P346" s="3">
        <f>INDEX(Performance!$C$2:$C$501,MATCH(Employees!A346,Performance!$A$2:$A$501,0))</f>
        <v>2</v>
      </c>
      <c r="Q346" s="4">
        <f t="shared" si="5"/>
        <v>4037.25</v>
      </c>
    </row>
    <row r="347" spans="1:17" hidden="1" x14ac:dyDescent="0.25">
      <c r="A347" s="2" t="s">
        <v>1067</v>
      </c>
      <c r="B347" s="2" t="s">
        <v>50</v>
      </c>
      <c r="C347" s="2" t="s">
        <v>89</v>
      </c>
      <c r="D347" s="2" t="s">
        <v>29</v>
      </c>
      <c r="E347" s="2">
        <v>24</v>
      </c>
      <c r="F347" s="2" t="s">
        <v>56</v>
      </c>
      <c r="G347" s="2" t="s">
        <v>114</v>
      </c>
      <c r="H347" s="2" t="s">
        <v>1068</v>
      </c>
      <c r="I347" s="2">
        <v>67559</v>
      </c>
      <c r="J347" s="2" t="s">
        <v>40</v>
      </c>
      <c r="K347" s="2" t="s">
        <v>1069</v>
      </c>
      <c r="L347" s="2" t="s">
        <v>26</v>
      </c>
      <c r="M347" s="2" t="str">
        <f>VLOOKUP(F347,Departments!$A$1:$C$6,2,0)</f>
        <v>Finance</v>
      </c>
      <c r="N347" s="2" t="str">
        <f>INDEX(Departments!$B$1:$B$6, MATCH(Employees!F347, Departments!$A$1:$A$6, 0))</f>
        <v>Finance</v>
      </c>
      <c r="O347" s="3" t="str">
        <f>INDEX(Departments!$B$2:$B$6,MATCH(Employees!F347,Departments!$A$2:$A$6,0))</f>
        <v>Finance</v>
      </c>
      <c r="P347" s="3">
        <f>INDEX(Performance!$C$2:$C$501,MATCH(Employees!A347,Performance!$A$2:$A$501,0))</f>
        <v>3</v>
      </c>
      <c r="Q347" s="4">
        <f t="shared" si="5"/>
        <v>4729.13</v>
      </c>
    </row>
    <row r="348" spans="1:17" hidden="1" x14ac:dyDescent="0.25">
      <c r="A348" s="2" t="s">
        <v>1070</v>
      </c>
      <c r="B348" s="2" t="s">
        <v>64</v>
      </c>
      <c r="C348" s="2" t="s">
        <v>84</v>
      </c>
      <c r="D348" s="2" t="s">
        <v>29</v>
      </c>
      <c r="E348" s="2">
        <v>47</v>
      </c>
      <c r="F348" s="2" t="s">
        <v>45</v>
      </c>
      <c r="G348" s="2" t="s">
        <v>31</v>
      </c>
      <c r="H348" s="2" t="s">
        <v>1071</v>
      </c>
      <c r="I348" s="2">
        <v>106379</v>
      </c>
      <c r="J348" s="2" t="s">
        <v>40</v>
      </c>
      <c r="K348" s="2" t="s">
        <v>1072</v>
      </c>
      <c r="L348" s="2" t="s">
        <v>26</v>
      </c>
      <c r="M348" s="2" t="str">
        <f>VLOOKUP(F348,Departments!$A$1:$C$6,2,0)</f>
        <v>Marketing</v>
      </c>
      <c r="N348" s="2" t="str">
        <f>INDEX(Departments!$B$1:$B$6, MATCH(Employees!F348, Departments!$A$1:$A$6, 0))</f>
        <v>Marketing</v>
      </c>
      <c r="O348" s="3" t="str">
        <f>INDEX(Departments!$B$2:$B$6,MATCH(Employees!F348,Departments!$A$2:$A$6,0))</f>
        <v>Marketing</v>
      </c>
      <c r="P348" s="3">
        <f>INDEX(Performance!$C$2:$C$501,MATCH(Employees!A348,Performance!$A$2:$A$501,0))</f>
        <v>1</v>
      </c>
      <c r="Q348" s="4">
        <f t="shared" si="5"/>
        <v>5318.9500000000007</v>
      </c>
    </row>
    <row r="349" spans="1:17" hidden="1" x14ac:dyDescent="0.25">
      <c r="A349" s="2" t="s">
        <v>1073</v>
      </c>
      <c r="B349" s="2" t="s">
        <v>18</v>
      </c>
      <c r="C349" s="2" t="s">
        <v>69</v>
      </c>
      <c r="D349" s="2" t="s">
        <v>29</v>
      </c>
      <c r="E349" s="2">
        <v>30</v>
      </c>
      <c r="F349" s="2" t="s">
        <v>37</v>
      </c>
      <c r="G349" s="2" t="s">
        <v>31</v>
      </c>
      <c r="H349" s="2" t="s">
        <v>1074</v>
      </c>
      <c r="I349" s="2">
        <v>103395</v>
      </c>
      <c r="J349" s="2" t="s">
        <v>24</v>
      </c>
      <c r="K349" s="2" t="s">
        <v>1075</v>
      </c>
      <c r="L349" s="2" t="s">
        <v>42</v>
      </c>
      <c r="M349" s="2" t="str">
        <f>VLOOKUP(F349,Departments!$A$1:$C$6,2,0)</f>
        <v>Sales</v>
      </c>
      <c r="N349" s="2" t="str">
        <f>INDEX(Departments!$B$1:$B$6, MATCH(Employees!F349, Departments!$A$1:$A$6, 0))</f>
        <v>Sales</v>
      </c>
      <c r="O349" s="3" t="str">
        <f>INDEX(Departments!$B$2:$B$6,MATCH(Employees!F349,Departments!$A$2:$A$6,0))</f>
        <v>Sales</v>
      </c>
      <c r="P349" s="3">
        <f>INDEX(Performance!$C$2:$C$501,MATCH(Employees!A349,Performance!$A$2:$A$501,0))</f>
        <v>2</v>
      </c>
      <c r="Q349" s="4">
        <f t="shared" si="5"/>
        <v>5169.75</v>
      </c>
    </row>
    <row r="350" spans="1:17" hidden="1" x14ac:dyDescent="0.25">
      <c r="A350" s="2" t="s">
        <v>1076</v>
      </c>
      <c r="B350" s="2" t="s">
        <v>100</v>
      </c>
      <c r="C350" s="2" t="s">
        <v>136</v>
      </c>
      <c r="D350" s="2" t="s">
        <v>20</v>
      </c>
      <c r="E350" s="2">
        <v>33</v>
      </c>
      <c r="F350" s="2" t="s">
        <v>45</v>
      </c>
      <c r="G350" s="2" t="s">
        <v>38</v>
      </c>
      <c r="H350" s="2" t="s">
        <v>1077</v>
      </c>
      <c r="I350" s="2">
        <v>76025</v>
      </c>
      <c r="J350" s="2" t="s">
        <v>40</v>
      </c>
      <c r="K350" s="2" t="s">
        <v>1078</v>
      </c>
      <c r="L350" s="2" t="s">
        <v>42</v>
      </c>
      <c r="M350" s="2" t="str">
        <f>VLOOKUP(F350,Departments!$A$1:$C$6,2,0)</f>
        <v>Marketing</v>
      </c>
      <c r="N350" s="2" t="str">
        <f>INDEX(Departments!$B$1:$B$6, MATCH(Employees!F350, Departments!$A$1:$A$6, 0))</f>
        <v>Marketing</v>
      </c>
      <c r="O350" s="3" t="str">
        <f>INDEX(Departments!$B$2:$B$6,MATCH(Employees!F350,Departments!$A$2:$A$6,0))</f>
        <v>Marketing</v>
      </c>
      <c r="P350" s="3">
        <f>INDEX(Performance!$C$2:$C$501,MATCH(Employees!A350,Performance!$A$2:$A$501,0))</f>
        <v>3</v>
      </c>
      <c r="Q350" s="4">
        <f t="shared" si="5"/>
        <v>5321.7500000000009</v>
      </c>
    </row>
    <row r="351" spans="1:17" hidden="1" x14ac:dyDescent="0.25">
      <c r="A351" s="2" t="s">
        <v>1079</v>
      </c>
      <c r="B351" s="2" t="s">
        <v>55</v>
      </c>
      <c r="C351" s="2" t="s">
        <v>19</v>
      </c>
      <c r="D351" s="2" t="s">
        <v>20</v>
      </c>
      <c r="E351" s="2">
        <v>33</v>
      </c>
      <c r="F351" s="2" t="s">
        <v>37</v>
      </c>
      <c r="G351" s="2" t="s">
        <v>22</v>
      </c>
      <c r="H351" s="2" t="s">
        <v>1080</v>
      </c>
      <c r="I351" s="2">
        <v>69952</v>
      </c>
      <c r="J351" s="2" t="s">
        <v>66</v>
      </c>
      <c r="K351" s="2" t="s">
        <v>1081</v>
      </c>
      <c r="L351" s="2" t="s">
        <v>42</v>
      </c>
      <c r="M351" s="2" t="str">
        <f>VLOOKUP(F351,Departments!$A$1:$C$6,2,0)</f>
        <v>Sales</v>
      </c>
      <c r="N351" s="2" t="str">
        <f>INDEX(Departments!$B$1:$B$6, MATCH(Employees!F351, Departments!$A$1:$A$6, 0))</f>
        <v>Sales</v>
      </c>
      <c r="O351" s="3" t="str">
        <f>INDEX(Departments!$B$2:$B$6,MATCH(Employees!F351,Departments!$A$2:$A$6,0))</f>
        <v>Sales</v>
      </c>
      <c r="P351" s="3">
        <f>INDEX(Performance!$C$2:$C$501,MATCH(Employees!A351,Performance!$A$2:$A$501,0))</f>
        <v>4</v>
      </c>
      <c r="Q351" s="4">
        <f t="shared" si="5"/>
        <v>6995.2000000000007</v>
      </c>
    </row>
    <row r="352" spans="1:17" hidden="1" x14ac:dyDescent="0.25">
      <c r="A352" s="2" t="s">
        <v>1082</v>
      </c>
      <c r="B352" s="2" t="s">
        <v>55</v>
      </c>
      <c r="C352" s="2" t="s">
        <v>51</v>
      </c>
      <c r="D352" s="2" t="s">
        <v>20</v>
      </c>
      <c r="E352" s="2">
        <v>42</v>
      </c>
      <c r="F352" s="2" t="s">
        <v>21</v>
      </c>
      <c r="G352" s="2" t="s">
        <v>31</v>
      </c>
      <c r="H352" s="2" t="s">
        <v>1083</v>
      </c>
      <c r="I352" s="2">
        <v>108637</v>
      </c>
      <c r="J352" s="2" t="s">
        <v>40</v>
      </c>
      <c r="K352" s="2" t="s">
        <v>1084</v>
      </c>
      <c r="L352" s="2" t="s">
        <v>42</v>
      </c>
      <c r="M352" s="2" t="str">
        <f>VLOOKUP(F352,Departments!$A$1:$C$6,2,0)</f>
        <v>HR</v>
      </c>
      <c r="N352" s="2" t="str">
        <f>INDEX(Departments!$B$1:$B$6, MATCH(Employees!F352, Departments!$A$1:$A$6, 0))</f>
        <v>HR</v>
      </c>
      <c r="O352" s="3" t="str">
        <f>INDEX(Departments!$B$2:$B$6,MATCH(Employees!F352,Departments!$A$2:$A$6,0))</f>
        <v>HR</v>
      </c>
      <c r="P352" s="3">
        <f>INDEX(Performance!$C$2:$C$501,MATCH(Employees!A352,Performance!$A$2:$A$501,0))</f>
        <v>2</v>
      </c>
      <c r="Q352" s="4">
        <f t="shared" si="5"/>
        <v>5431.85</v>
      </c>
    </row>
    <row r="353" spans="1:17" hidden="1" x14ac:dyDescent="0.25">
      <c r="A353" s="2" t="s">
        <v>1085</v>
      </c>
      <c r="B353" s="2" t="s">
        <v>50</v>
      </c>
      <c r="C353" s="2" t="s">
        <v>96</v>
      </c>
      <c r="D353" s="2" t="s">
        <v>20</v>
      </c>
      <c r="E353" s="2">
        <v>27</v>
      </c>
      <c r="F353" s="2" t="s">
        <v>37</v>
      </c>
      <c r="G353" s="2" t="s">
        <v>38</v>
      </c>
      <c r="H353" s="2" t="s">
        <v>1086</v>
      </c>
      <c r="I353" s="2">
        <v>65699</v>
      </c>
      <c r="J353" s="2" t="s">
        <v>40</v>
      </c>
      <c r="K353" s="2" t="s">
        <v>1087</v>
      </c>
      <c r="L353" s="2" t="s">
        <v>26</v>
      </c>
      <c r="M353" s="2" t="str">
        <f>VLOOKUP(F353,Departments!$A$1:$C$6,2,0)</f>
        <v>Sales</v>
      </c>
      <c r="N353" s="2" t="str">
        <f>INDEX(Departments!$B$1:$B$6, MATCH(Employees!F353, Departments!$A$1:$A$6, 0))</f>
        <v>Sales</v>
      </c>
      <c r="O353" s="3" t="str">
        <f>INDEX(Departments!$B$2:$B$6,MATCH(Employees!F353,Departments!$A$2:$A$6,0))</f>
        <v>Sales</v>
      </c>
      <c r="P353" s="3">
        <f>INDEX(Performance!$C$2:$C$501,MATCH(Employees!A353,Performance!$A$2:$A$501,0))</f>
        <v>2</v>
      </c>
      <c r="Q353" s="4">
        <f t="shared" si="5"/>
        <v>3284.9500000000003</v>
      </c>
    </row>
    <row r="354" spans="1:17" hidden="1" x14ac:dyDescent="0.25">
      <c r="A354" s="2" t="s">
        <v>1088</v>
      </c>
      <c r="B354" s="2" t="s">
        <v>149</v>
      </c>
      <c r="C354" s="2" t="s">
        <v>69</v>
      </c>
      <c r="D354" s="2" t="s">
        <v>29</v>
      </c>
      <c r="E354" s="2">
        <v>50</v>
      </c>
      <c r="F354" s="2" t="s">
        <v>21</v>
      </c>
      <c r="G354" s="2" t="s">
        <v>46</v>
      </c>
      <c r="H354" s="2" t="s">
        <v>1089</v>
      </c>
      <c r="I354" s="2">
        <v>90340</v>
      </c>
      <c r="J354" s="2" t="s">
        <v>24</v>
      </c>
      <c r="K354" s="2" t="s">
        <v>1090</v>
      </c>
      <c r="L354" s="2" t="s">
        <v>26</v>
      </c>
      <c r="M354" s="2" t="str">
        <f>VLOOKUP(F354,Departments!$A$1:$C$6,2,0)</f>
        <v>HR</v>
      </c>
      <c r="N354" s="2" t="str">
        <f>INDEX(Departments!$B$1:$B$6, MATCH(Employees!F354, Departments!$A$1:$A$6, 0))</f>
        <v>HR</v>
      </c>
      <c r="O354" s="3" t="str">
        <f>INDEX(Departments!$B$2:$B$6,MATCH(Employees!F354,Departments!$A$2:$A$6,0))</f>
        <v>HR</v>
      </c>
      <c r="P354" s="3">
        <f>INDEX(Performance!$C$2:$C$501,MATCH(Employees!A354,Performance!$A$2:$A$501,0))</f>
        <v>1</v>
      </c>
      <c r="Q354" s="4">
        <f t="shared" si="5"/>
        <v>4517</v>
      </c>
    </row>
    <row r="355" spans="1:17" hidden="1" x14ac:dyDescent="0.25">
      <c r="A355" s="2" t="s">
        <v>1091</v>
      </c>
      <c r="B355" s="2" t="s">
        <v>77</v>
      </c>
      <c r="C355" s="2" t="s">
        <v>101</v>
      </c>
      <c r="D355" s="2" t="s">
        <v>20</v>
      </c>
      <c r="E355" s="2">
        <v>31</v>
      </c>
      <c r="F355" s="2" t="s">
        <v>30</v>
      </c>
      <c r="G355" s="2" t="s">
        <v>46</v>
      </c>
      <c r="H355" s="2" t="s">
        <v>1092</v>
      </c>
      <c r="I355" s="2">
        <v>114818</v>
      </c>
      <c r="J355" s="2" t="s">
        <v>40</v>
      </c>
      <c r="K355" s="2" t="s">
        <v>1093</v>
      </c>
      <c r="L355" s="2" t="s">
        <v>42</v>
      </c>
      <c r="M355" s="2" t="str">
        <f>VLOOKUP(F355,Departments!$A$1:$C$6,2,0)</f>
        <v>IT</v>
      </c>
      <c r="N355" s="2" t="str">
        <f>INDEX(Departments!$B$1:$B$6, MATCH(Employees!F355, Departments!$A$1:$A$6, 0))</f>
        <v>IT</v>
      </c>
      <c r="O355" s="3" t="str">
        <f>INDEX(Departments!$B$2:$B$6,MATCH(Employees!F355,Departments!$A$2:$A$6,0))</f>
        <v>IT</v>
      </c>
      <c r="P355" s="3">
        <f>INDEX(Performance!$C$2:$C$501,MATCH(Employees!A355,Performance!$A$2:$A$501,0))</f>
        <v>1</v>
      </c>
      <c r="Q355" s="4">
        <f t="shared" si="5"/>
        <v>5740.9000000000005</v>
      </c>
    </row>
    <row r="356" spans="1:17" hidden="1" x14ac:dyDescent="0.25">
      <c r="A356" s="2" t="s">
        <v>1094</v>
      </c>
      <c r="B356" s="2" t="s">
        <v>60</v>
      </c>
      <c r="C356" s="2" t="s">
        <v>19</v>
      </c>
      <c r="D356" s="2" t="s">
        <v>20</v>
      </c>
      <c r="E356" s="2">
        <v>39</v>
      </c>
      <c r="F356" s="2" t="s">
        <v>37</v>
      </c>
      <c r="G356" s="2" t="s">
        <v>114</v>
      </c>
      <c r="H356" s="2" t="s">
        <v>1095</v>
      </c>
      <c r="I356" s="2">
        <v>82417</v>
      </c>
      <c r="J356" s="2" t="s">
        <v>40</v>
      </c>
      <c r="K356" s="2" t="s">
        <v>1096</v>
      </c>
      <c r="L356" s="2" t="s">
        <v>42</v>
      </c>
      <c r="M356" s="2" t="str">
        <f>VLOOKUP(F356,Departments!$A$1:$C$6,2,0)</f>
        <v>Sales</v>
      </c>
      <c r="N356" s="2" t="str">
        <f>INDEX(Departments!$B$1:$B$6, MATCH(Employees!F356, Departments!$A$1:$A$6, 0))</f>
        <v>Sales</v>
      </c>
      <c r="O356" s="3" t="str">
        <f>INDEX(Departments!$B$2:$B$6,MATCH(Employees!F356,Departments!$A$2:$A$6,0))</f>
        <v>Sales</v>
      </c>
      <c r="P356" s="3">
        <f>INDEX(Performance!$C$2:$C$501,MATCH(Employees!A356,Performance!$A$2:$A$501,0))</f>
        <v>5</v>
      </c>
      <c r="Q356" s="4">
        <f t="shared" si="5"/>
        <v>12362.55</v>
      </c>
    </row>
    <row r="357" spans="1:17" hidden="1" x14ac:dyDescent="0.25">
      <c r="A357" s="2" t="s">
        <v>1097</v>
      </c>
      <c r="B357" s="2" t="s">
        <v>60</v>
      </c>
      <c r="C357" s="2" t="s">
        <v>96</v>
      </c>
      <c r="D357" s="2" t="s">
        <v>29</v>
      </c>
      <c r="E357" s="2">
        <v>38</v>
      </c>
      <c r="F357" s="2" t="s">
        <v>45</v>
      </c>
      <c r="G357" s="2" t="s">
        <v>22</v>
      </c>
      <c r="H357" s="2" t="s">
        <v>1098</v>
      </c>
      <c r="I357" s="2">
        <v>116569</v>
      </c>
      <c r="J357" s="2" t="s">
        <v>86</v>
      </c>
      <c r="K357" s="2" t="s">
        <v>1099</v>
      </c>
      <c r="L357" s="2" t="s">
        <v>26</v>
      </c>
      <c r="M357" s="2" t="str">
        <f>VLOOKUP(F357,Departments!$A$1:$C$6,2,0)</f>
        <v>Marketing</v>
      </c>
      <c r="N357" s="2" t="str">
        <f>INDEX(Departments!$B$1:$B$6, MATCH(Employees!F357, Departments!$A$1:$A$6, 0))</f>
        <v>Marketing</v>
      </c>
      <c r="O357" s="3" t="str">
        <f>INDEX(Departments!$B$2:$B$6,MATCH(Employees!F357,Departments!$A$2:$A$6,0))</f>
        <v>Marketing</v>
      </c>
      <c r="P357" s="3">
        <f>INDEX(Performance!$C$2:$C$501,MATCH(Employees!A357,Performance!$A$2:$A$501,0))</f>
        <v>1</v>
      </c>
      <c r="Q357" s="4">
        <f t="shared" si="5"/>
        <v>5828.4500000000007</v>
      </c>
    </row>
    <row r="358" spans="1:17" hidden="1" x14ac:dyDescent="0.25">
      <c r="A358" s="2" t="s">
        <v>1100</v>
      </c>
      <c r="B358" s="2" t="s">
        <v>64</v>
      </c>
      <c r="C358" s="2" t="s">
        <v>89</v>
      </c>
      <c r="D358" s="2" t="s">
        <v>29</v>
      </c>
      <c r="E358" s="2">
        <v>37</v>
      </c>
      <c r="F358" s="2" t="s">
        <v>56</v>
      </c>
      <c r="G358" s="2" t="s">
        <v>31</v>
      </c>
      <c r="H358" s="2" t="s">
        <v>1101</v>
      </c>
      <c r="I358" s="2">
        <v>98489</v>
      </c>
      <c r="J358" s="2" t="s">
        <v>66</v>
      </c>
      <c r="K358" s="2" t="s">
        <v>1102</v>
      </c>
      <c r="L358" s="2" t="s">
        <v>42</v>
      </c>
      <c r="M358" s="2" t="str">
        <f>VLOOKUP(F358,Departments!$A$1:$C$6,2,0)</f>
        <v>Finance</v>
      </c>
      <c r="N358" s="2" t="str">
        <f>INDEX(Departments!$B$1:$B$6, MATCH(Employees!F358, Departments!$A$1:$A$6, 0))</f>
        <v>Finance</v>
      </c>
      <c r="O358" s="3" t="str">
        <f>INDEX(Departments!$B$2:$B$6,MATCH(Employees!F358,Departments!$A$2:$A$6,0))</f>
        <v>Finance</v>
      </c>
      <c r="P358" s="3">
        <f>INDEX(Performance!$C$2:$C$501,MATCH(Employees!A358,Performance!$A$2:$A$501,0))</f>
        <v>4</v>
      </c>
      <c r="Q358" s="4">
        <f t="shared" si="5"/>
        <v>9848.9000000000015</v>
      </c>
    </row>
    <row r="359" spans="1:17" hidden="1" x14ac:dyDescent="0.25">
      <c r="A359" s="2" t="s">
        <v>1103</v>
      </c>
      <c r="B359" s="2" t="s">
        <v>64</v>
      </c>
      <c r="C359" s="2" t="s">
        <v>101</v>
      </c>
      <c r="D359" s="2" t="s">
        <v>20</v>
      </c>
      <c r="E359" s="2">
        <v>58</v>
      </c>
      <c r="F359" s="2" t="s">
        <v>37</v>
      </c>
      <c r="G359" s="2" t="s">
        <v>31</v>
      </c>
      <c r="H359" s="2" t="s">
        <v>1104</v>
      </c>
      <c r="I359" s="2">
        <v>60665</v>
      </c>
      <c r="J359" s="2" t="s">
        <v>66</v>
      </c>
      <c r="K359" s="2" t="s">
        <v>1105</v>
      </c>
      <c r="L359" s="2" t="s">
        <v>42</v>
      </c>
      <c r="M359" s="2" t="str">
        <f>VLOOKUP(F359,Departments!$A$1:$C$6,2,0)</f>
        <v>Sales</v>
      </c>
      <c r="N359" s="2" t="str">
        <f>INDEX(Departments!$B$1:$B$6, MATCH(Employees!F359, Departments!$A$1:$A$6, 0))</f>
        <v>Sales</v>
      </c>
      <c r="O359" s="3" t="str">
        <f>INDEX(Departments!$B$2:$B$6,MATCH(Employees!F359,Departments!$A$2:$A$6,0))</f>
        <v>Sales</v>
      </c>
      <c r="P359" s="3">
        <f>INDEX(Performance!$C$2:$C$501,MATCH(Employees!A359,Performance!$A$2:$A$501,0))</f>
        <v>5</v>
      </c>
      <c r="Q359" s="4">
        <f t="shared" si="5"/>
        <v>9099.75</v>
      </c>
    </row>
    <row r="360" spans="1:17" hidden="1" x14ac:dyDescent="0.25">
      <c r="A360" s="2" t="s">
        <v>1106</v>
      </c>
      <c r="B360" s="2" t="s">
        <v>36</v>
      </c>
      <c r="C360" s="2" t="s">
        <v>136</v>
      </c>
      <c r="D360" s="2" t="s">
        <v>29</v>
      </c>
      <c r="E360" s="2">
        <v>59</v>
      </c>
      <c r="F360" s="2" t="s">
        <v>30</v>
      </c>
      <c r="G360" s="2" t="s">
        <v>46</v>
      </c>
      <c r="H360" s="2" t="s">
        <v>1107</v>
      </c>
      <c r="I360" s="2">
        <v>91685</v>
      </c>
      <c r="J360" s="2" t="s">
        <v>24</v>
      </c>
      <c r="K360" s="2" t="s">
        <v>1108</v>
      </c>
      <c r="L360" s="2" t="s">
        <v>42</v>
      </c>
      <c r="M360" s="2" t="str">
        <f>VLOOKUP(F360,Departments!$A$1:$C$6,2,0)</f>
        <v>IT</v>
      </c>
      <c r="N360" s="2" t="str">
        <f>INDEX(Departments!$B$1:$B$6, MATCH(Employees!F360, Departments!$A$1:$A$6, 0))</f>
        <v>IT</v>
      </c>
      <c r="O360" s="3" t="str">
        <f>INDEX(Departments!$B$2:$B$6,MATCH(Employees!F360,Departments!$A$2:$A$6,0))</f>
        <v>IT</v>
      </c>
      <c r="P360" s="3">
        <f>INDEX(Performance!$C$2:$C$501,MATCH(Employees!A360,Performance!$A$2:$A$501,0))</f>
        <v>3</v>
      </c>
      <c r="Q360" s="4">
        <f t="shared" si="5"/>
        <v>6417.9500000000007</v>
      </c>
    </row>
    <row r="361" spans="1:17" hidden="1" x14ac:dyDescent="0.25">
      <c r="A361" s="2" t="s">
        <v>1109</v>
      </c>
      <c r="B361" s="2" t="s">
        <v>64</v>
      </c>
      <c r="C361" s="2" t="s">
        <v>136</v>
      </c>
      <c r="D361" s="2" t="s">
        <v>20</v>
      </c>
      <c r="E361" s="2">
        <v>55</v>
      </c>
      <c r="F361" s="2" t="s">
        <v>56</v>
      </c>
      <c r="G361" s="2" t="s">
        <v>114</v>
      </c>
      <c r="H361" s="2" t="s">
        <v>1110</v>
      </c>
      <c r="I361" s="2">
        <v>76843</v>
      </c>
      <c r="J361" s="2" t="s">
        <v>66</v>
      </c>
      <c r="K361" s="2" t="s">
        <v>1111</v>
      </c>
      <c r="L361" s="2" t="s">
        <v>26</v>
      </c>
      <c r="M361" s="2" t="str">
        <f>VLOOKUP(F361,Departments!$A$1:$C$6,2,0)</f>
        <v>Finance</v>
      </c>
      <c r="N361" s="2" t="str">
        <f>INDEX(Departments!$B$1:$B$6, MATCH(Employees!F361, Departments!$A$1:$A$6, 0))</f>
        <v>Finance</v>
      </c>
      <c r="O361" s="3" t="str">
        <f>INDEX(Departments!$B$2:$B$6,MATCH(Employees!F361,Departments!$A$2:$A$6,0))</f>
        <v>Finance</v>
      </c>
      <c r="P361" s="3">
        <f>INDEX(Performance!$C$2:$C$501,MATCH(Employees!A361,Performance!$A$2:$A$501,0))</f>
        <v>3</v>
      </c>
      <c r="Q361" s="4">
        <f t="shared" si="5"/>
        <v>5379.01</v>
      </c>
    </row>
    <row r="362" spans="1:17" hidden="1" x14ac:dyDescent="0.25">
      <c r="A362" s="2" t="s">
        <v>1112</v>
      </c>
      <c r="B362" s="2" t="s">
        <v>64</v>
      </c>
      <c r="C362" s="2" t="s">
        <v>19</v>
      </c>
      <c r="D362" s="2" t="s">
        <v>29</v>
      </c>
      <c r="E362" s="2">
        <v>35</v>
      </c>
      <c r="F362" s="2" t="s">
        <v>45</v>
      </c>
      <c r="G362" s="2" t="s">
        <v>46</v>
      </c>
      <c r="H362" s="2" t="s">
        <v>1113</v>
      </c>
      <c r="I362" s="2">
        <v>91860</v>
      </c>
      <c r="J362" s="2" t="s">
        <v>66</v>
      </c>
      <c r="K362" s="2" t="s">
        <v>1114</v>
      </c>
      <c r="L362" s="2" t="s">
        <v>26</v>
      </c>
      <c r="M362" s="2" t="str">
        <f>VLOOKUP(F362,Departments!$A$1:$C$6,2,0)</f>
        <v>Marketing</v>
      </c>
      <c r="N362" s="2" t="str">
        <f>INDEX(Departments!$B$1:$B$6, MATCH(Employees!F362, Departments!$A$1:$A$6, 0))</f>
        <v>Marketing</v>
      </c>
      <c r="O362" s="3" t="str">
        <f>INDEX(Departments!$B$2:$B$6,MATCH(Employees!F362,Departments!$A$2:$A$6,0))</f>
        <v>Marketing</v>
      </c>
      <c r="P362" s="3">
        <f>INDEX(Performance!$C$2:$C$501,MATCH(Employees!A362,Performance!$A$2:$A$501,0))</f>
        <v>4</v>
      </c>
      <c r="Q362" s="4">
        <f t="shared" si="5"/>
        <v>9186</v>
      </c>
    </row>
    <row r="363" spans="1:17" x14ac:dyDescent="0.25">
      <c r="A363" s="2" t="s">
        <v>1115</v>
      </c>
      <c r="B363" s="2" t="s">
        <v>77</v>
      </c>
      <c r="C363" s="2" t="s">
        <v>19</v>
      </c>
      <c r="D363" s="2" t="s">
        <v>29</v>
      </c>
      <c r="E363" s="2">
        <v>60</v>
      </c>
      <c r="F363" s="2" t="s">
        <v>21</v>
      </c>
      <c r="G363" s="2" t="s">
        <v>22</v>
      </c>
      <c r="H363" s="2" t="s">
        <v>1116</v>
      </c>
      <c r="I363" s="2">
        <v>117041</v>
      </c>
      <c r="J363" s="2" t="s">
        <v>24</v>
      </c>
      <c r="K363" s="2" t="s">
        <v>1117</v>
      </c>
      <c r="L363" s="2" t="s">
        <v>42</v>
      </c>
      <c r="M363" s="2" t="str">
        <f>VLOOKUP(F363,Departments!$A$1:$C$6,2,0)</f>
        <v>HR</v>
      </c>
      <c r="N363" s="2" t="str">
        <f>INDEX(Departments!$B$1:$B$6, MATCH(Employees!F363, Departments!$A$1:$A$6, 0))</f>
        <v>HR</v>
      </c>
      <c r="O363" s="6" t="str">
        <f>INDEX(Departments!$B$2:$B$6,MATCH(Employees!F363,Departments!$A$2:$A$6,0))</f>
        <v>HR</v>
      </c>
      <c r="P363" s="6">
        <f>_xlfn.XLOOKUP(A363,Performance!$A$2:$A$501,Performance!$C$2:$C$501)</f>
        <v>5</v>
      </c>
      <c r="Q363" s="7">
        <f t="shared" si="5"/>
        <v>17556.149999999998</v>
      </c>
    </row>
    <row r="364" spans="1:17" hidden="1" x14ac:dyDescent="0.25">
      <c r="A364" s="2" t="s">
        <v>1118</v>
      </c>
      <c r="B364" s="2" t="s">
        <v>18</v>
      </c>
      <c r="C364" s="2" t="s">
        <v>19</v>
      </c>
      <c r="D364" s="2" t="s">
        <v>29</v>
      </c>
      <c r="E364" s="2">
        <v>45</v>
      </c>
      <c r="F364" s="2" t="s">
        <v>37</v>
      </c>
      <c r="G364" s="2" t="s">
        <v>114</v>
      </c>
      <c r="H364" s="2" t="s">
        <v>1119</v>
      </c>
      <c r="I364" s="2">
        <v>93769</v>
      </c>
      <c r="J364" s="2" t="s">
        <v>86</v>
      </c>
      <c r="K364" s="2" t="s">
        <v>1120</v>
      </c>
      <c r="L364" s="2" t="s">
        <v>26</v>
      </c>
      <c r="M364" s="2" t="str">
        <f>VLOOKUP(F364,Departments!$A$1:$C$6,2,0)</f>
        <v>Sales</v>
      </c>
      <c r="N364" s="2" t="str">
        <f>INDEX(Departments!$B$1:$B$6, MATCH(Employees!F364, Departments!$A$1:$A$6, 0))</f>
        <v>Sales</v>
      </c>
      <c r="O364" s="3" t="str">
        <f>INDEX(Departments!$B$2:$B$6,MATCH(Employees!F364,Departments!$A$2:$A$6,0))</f>
        <v>Sales</v>
      </c>
      <c r="P364" s="3">
        <f>INDEX(Performance!$C$2:$C$501,MATCH(Employees!A364,Performance!$A$2:$A$501,0))</f>
        <v>5</v>
      </c>
      <c r="Q364" s="4">
        <f t="shared" si="5"/>
        <v>14065.35</v>
      </c>
    </row>
    <row r="365" spans="1:17" hidden="1" x14ac:dyDescent="0.25">
      <c r="A365" s="2" t="s">
        <v>1121</v>
      </c>
      <c r="B365" s="2" t="s">
        <v>149</v>
      </c>
      <c r="C365" s="2" t="s">
        <v>171</v>
      </c>
      <c r="D365" s="2" t="s">
        <v>29</v>
      </c>
      <c r="E365" s="2">
        <v>37</v>
      </c>
      <c r="F365" s="2" t="s">
        <v>56</v>
      </c>
      <c r="G365" s="2" t="s">
        <v>114</v>
      </c>
      <c r="H365" s="2" t="s">
        <v>1122</v>
      </c>
      <c r="I365" s="2">
        <v>43224</v>
      </c>
      <c r="J365" s="2" t="s">
        <v>40</v>
      </c>
      <c r="K365" s="2" t="s">
        <v>1123</v>
      </c>
      <c r="L365" s="2" t="s">
        <v>26</v>
      </c>
      <c r="M365" s="2" t="str">
        <f>VLOOKUP(F365,Departments!$A$1:$C$6,2,0)</f>
        <v>Finance</v>
      </c>
      <c r="N365" s="2" t="str">
        <f>INDEX(Departments!$B$1:$B$6, MATCH(Employees!F365, Departments!$A$1:$A$6, 0))</f>
        <v>Finance</v>
      </c>
      <c r="O365" s="3" t="str">
        <f>INDEX(Departments!$B$2:$B$6,MATCH(Employees!F365,Departments!$A$2:$A$6,0))</f>
        <v>Finance</v>
      </c>
      <c r="P365" s="3">
        <f>INDEX(Performance!$C$2:$C$501,MATCH(Employees!A365,Performance!$A$2:$A$501,0))</f>
        <v>3</v>
      </c>
      <c r="Q365" s="4">
        <f t="shared" si="5"/>
        <v>3025.6800000000003</v>
      </c>
    </row>
    <row r="366" spans="1:17" hidden="1" x14ac:dyDescent="0.25">
      <c r="A366" s="2" t="s">
        <v>1124</v>
      </c>
      <c r="B366" s="2" t="s">
        <v>149</v>
      </c>
      <c r="C366" s="2" t="s">
        <v>19</v>
      </c>
      <c r="D366" s="2" t="s">
        <v>29</v>
      </c>
      <c r="E366" s="2">
        <v>43</v>
      </c>
      <c r="F366" s="2" t="s">
        <v>56</v>
      </c>
      <c r="G366" s="2" t="s">
        <v>31</v>
      </c>
      <c r="H366" s="2" t="s">
        <v>1125</v>
      </c>
      <c r="I366" s="2">
        <v>101866</v>
      </c>
      <c r="J366" s="2" t="s">
        <v>86</v>
      </c>
      <c r="K366" s="2" t="s">
        <v>1126</v>
      </c>
      <c r="L366" s="2" t="s">
        <v>42</v>
      </c>
      <c r="M366" s="2" t="str">
        <f>VLOOKUP(F366,Departments!$A$1:$C$6,2,0)</f>
        <v>Finance</v>
      </c>
      <c r="N366" s="2" t="str">
        <f>INDEX(Departments!$B$1:$B$6, MATCH(Employees!F366, Departments!$A$1:$A$6, 0))</f>
        <v>Finance</v>
      </c>
      <c r="O366" s="3" t="str">
        <f>INDEX(Departments!$B$2:$B$6,MATCH(Employees!F366,Departments!$A$2:$A$6,0))</f>
        <v>Finance</v>
      </c>
      <c r="P366" s="3">
        <f>INDEX(Performance!$C$2:$C$501,MATCH(Employees!A366,Performance!$A$2:$A$501,0))</f>
        <v>3</v>
      </c>
      <c r="Q366" s="4">
        <f t="shared" si="5"/>
        <v>7130.6200000000008</v>
      </c>
    </row>
    <row r="367" spans="1:17" hidden="1" x14ac:dyDescent="0.25">
      <c r="A367" s="2" t="s">
        <v>1127</v>
      </c>
      <c r="B367" s="2" t="s">
        <v>55</v>
      </c>
      <c r="C367" s="2" t="s">
        <v>101</v>
      </c>
      <c r="D367" s="2" t="s">
        <v>20</v>
      </c>
      <c r="E367" s="2">
        <v>56</v>
      </c>
      <c r="F367" s="2" t="s">
        <v>45</v>
      </c>
      <c r="G367" s="2" t="s">
        <v>46</v>
      </c>
      <c r="H367" s="2" t="s">
        <v>1128</v>
      </c>
      <c r="I367" s="2">
        <v>101636</v>
      </c>
      <c r="J367" s="2" t="s">
        <v>86</v>
      </c>
      <c r="K367" s="2" t="s">
        <v>1129</v>
      </c>
      <c r="L367" s="2" t="s">
        <v>42</v>
      </c>
      <c r="M367" s="2" t="str">
        <f>VLOOKUP(F367,Departments!$A$1:$C$6,2,0)</f>
        <v>Marketing</v>
      </c>
      <c r="N367" s="2" t="str">
        <f>INDEX(Departments!$B$1:$B$6, MATCH(Employees!F367, Departments!$A$1:$A$6, 0))</f>
        <v>Marketing</v>
      </c>
      <c r="O367" s="3" t="str">
        <f>INDEX(Departments!$B$2:$B$6,MATCH(Employees!F367,Departments!$A$2:$A$6,0))</f>
        <v>Marketing</v>
      </c>
      <c r="P367" s="3">
        <f>INDEX(Performance!$C$2:$C$501,MATCH(Employees!A367,Performance!$A$2:$A$501,0))</f>
        <v>3</v>
      </c>
      <c r="Q367" s="4">
        <f t="shared" si="5"/>
        <v>7114.52</v>
      </c>
    </row>
    <row r="368" spans="1:17" x14ac:dyDescent="0.25">
      <c r="A368" s="2" t="s">
        <v>1130</v>
      </c>
      <c r="B368" s="2" t="s">
        <v>60</v>
      </c>
      <c r="C368" s="2" t="s">
        <v>84</v>
      </c>
      <c r="D368" s="2" t="s">
        <v>29</v>
      </c>
      <c r="E368" s="2">
        <v>42</v>
      </c>
      <c r="F368" s="2" t="s">
        <v>30</v>
      </c>
      <c r="G368" s="2" t="s">
        <v>22</v>
      </c>
      <c r="H368" s="2" t="s">
        <v>1131</v>
      </c>
      <c r="I368" s="2">
        <v>106833</v>
      </c>
      <c r="J368" s="2" t="s">
        <v>24</v>
      </c>
      <c r="K368" s="2" t="s">
        <v>1132</v>
      </c>
      <c r="L368" s="2" t="s">
        <v>42</v>
      </c>
      <c r="M368" s="2" t="str">
        <f>VLOOKUP(F368,Departments!$A$1:$C$6,2,0)</f>
        <v>IT</v>
      </c>
      <c r="N368" s="2" t="str">
        <f>INDEX(Departments!$B$1:$B$6, MATCH(Employees!F368, Departments!$A$1:$A$6, 0))</f>
        <v>IT</v>
      </c>
      <c r="O368" s="6" t="str">
        <f>INDEX(Departments!$B$2:$B$6,MATCH(Employees!F368,Departments!$A$2:$A$6,0))</f>
        <v>IT</v>
      </c>
      <c r="P368" s="6">
        <f>_xlfn.XLOOKUP(A368,Performance!$A$2:$A$501,Performance!$C$2:$C$501)</f>
        <v>5</v>
      </c>
      <c r="Q368" s="7">
        <f t="shared" si="5"/>
        <v>16024.949999999999</v>
      </c>
    </row>
    <row r="369" spans="1:17" hidden="1" x14ac:dyDescent="0.25">
      <c r="A369" s="2" t="s">
        <v>1133</v>
      </c>
      <c r="B369" s="2" t="s">
        <v>36</v>
      </c>
      <c r="C369" s="2" t="s">
        <v>51</v>
      </c>
      <c r="D369" s="2" t="s">
        <v>20</v>
      </c>
      <c r="E369" s="2">
        <v>42</v>
      </c>
      <c r="F369" s="2" t="s">
        <v>21</v>
      </c>
      <c r="G369" s="2" t="s">
        <v>38</v>
      </c>
      <c r="H369" s="2" t="s">
        <v>1134</v>
      </c>
      <c r="I369" s="2">
        <v>75163</v>
      </c>
      <c r="J369" s="2" t="s">
        <v>40</v>
      </c>
      <c r="K369" s="2" t="s">
        <v>1135</v>
      </c>
      <c r="L369" s="2" t="s">
        <v>26</v>
      </c>
      <c r="M369" s="2" t="str">
        <f>VLOOKUP(F369,Departments!$A$1:$C$6,2,0)</f>
        <v>HR</v>
      </c>
      <c r="N369" s="2" t="str">
        <f>INDEX(Departments!$B$1:$B$6, MATCH(Employees!F369, Departments!$A$1:$A$6, 0))</f>
        <v>HR</v>
      </c>
      <c r="O369" s="3" t="str">
        <f>INDEX(Departments!$B$2:$B$6,MATCH(Employees!F369,Departments!$A$2:$A$6,0))</f>
        <v>HR</v>
      </c>
      <c r="P369" s="3">
        <f>INDEX(Performance!$C$2:$C$501,MATCH(Employees!A369,Performance!$A$2:$A$501,0))</f>
        <v>2</v>
      </c>
      <c r="Q369" s="4">
        <f t="shared" si="5"/>
        <v>3758.15</v>
      </c>
    </row>
    <row r="370" spans="1:17" hidden="1" x14ac:dyDescent="0.25">
      <c r="A370" s="2" t="s">
        <v>1136</v>
      </c>
      <c r="B370" s="2" t="s">
        <v>64</v>
      </c>
      <c r="C370" s="2" t="s">
        <v>136</v>
      </c>
      <c r="D370" s="2" t="s">
        <v>29</v>
      </c>
      <c r="E370" s="2">
        <v>41</v>
      </c>
      <c r="F370" s="2" t="s">
        <v>56</v>
      </c>
      <c r="G370" s="2" t="s">
        <v>31</v>
      </c>
      <c r="H370" s="2" t="s">
        <v>1137</v>
      </c>
      <c r="I370" s="2">
        <v>86763</v>
      </c>
      <c r="J370" s="2" t="s">
        <v>66</v>
      </c>
      <c r="K370" s="2" t="s">
        <v>1138</v>
      </c>
      <c r="L370" s="2" t="s">
        <v>42</v>
      </c>
      <c r="M370" s="2" t="str">
        <f>VLOOKUP(F370,Departments!$A$1:$C$6,2,0)</f>
        <v>Finance</v>
      </c>
      <c r="N370" s="2" t="str">
        <f>INDEX(Departments!$B$1:$B$6, MATCH(Employees!F370, Departments!$A$1:$A$6, 0))</f>
        <v>Finance</v>
      </c>
      <c r="O370" s="3" t="str">
        <f>INDEX(Departments!$B$2:$B$6,MATCH(Employees!F370,Departments!$A$2:$A$6,0))</f>
        <v>Finance</v>
      </c>
      <c r="P370" s="3">
        <f>INDEX(Performance!$C$2:$C$501,MATCH(Employees!A370,Performance!$A$2:$A$501,0))</f>
        <v>5</v>
      </c>
      <c r="Q370" s="4">
        <f t="shared" si="5"/>
        <v>13014.449999999999</v>
      </c>
    </row>
    <row r="371" spans="1:17" hidden="1" x14ac:dyDescent="0.25">
      <c r="A371" s="2" t="s">
        <v>1139</v>
      </c>
      <c r="B371" s="2" t="s">
        <v>100</v>
      </c>
      <c r="C371" s="2" t="s">
        <v>136</v>
      </c>
      <c r="D371" s="2" t="s">
        <v>20</v>
      </c>
      <c r="E371" s="2">
        <v>49</v>
      </c>
      <c r="F371" s="2" t="s">
        <v>56</v>
      </c>
      <c r="G371" s="2" t="s">
        <v>46</v>
      </c>
      <c r="H371" s="2" t="s">
        <v>1140</v>
      </c>
      <c r="I371" s="2">
        <v>54974</v>
      </c>
      <c r="J371" s="2" t="s">
        <v>86</v>
      </c>
      <c r="K371" s="2" t="s">
        <v>1141</v>
      </c>
      <c r="L371" s="2" t="s">
        <v>42</v>
      </c>
      <c r="M371" s="2" t="str">
        <f>VLOOKUP(F371,Departments!$A$1:$C$6,2,0)</f>
        <v>Finance</v>
      </c>
      <c r="N371" s="2" t="str">
        <f>INDEX(Departments!$B$1:$B$6, MATCH(Employees!F371, Departments!$A$1:$A$6, 0))</f>
        <v>Finance</v>
      </c>
      <c r="O371" s="3" t="str">
        <f>INDEX(Departments!$B$2:$B$6,MATCH(Employees!F371,Departments!$A$2:$A$6,0))</f>
        <v>Finance</v>
      </c>
      <c r="P371" s="3">
        <f>INDEX(Performance!$C$2:$C$501,MATCH(Employees!A371,Performance!$A$2:$A$501,0))</f>
        <v>2</v>
      </c>
      <c r="Q371" s="4">
        <f t="shared" si="5"/>
        <v>2748.7000000000003</v>
      </c>
    </row>
    <row r="372" spans="1:17" hidden="1" x14ac:dyDescent="0.25">
      <c r="A372" s="2" t="s">
        <v>1142</v>
      </c>
      <c r="B372" s="2" t="s">
        <v>149</v>
      </c>
      <c r="C372" s="2" t="s">
        <v>69</v>
      </c>
      <c r="D372" s="2" t="s">
        <v>20</v>
      </c>
      <c r="E372" s="2">
        <v>30</v>
      </c>
      <c r="F372" s="2" t="s">
        <v>37</v>
      </c>
      <c r="G372" s="2" t="s">
        <v>38</v>
      </c>
      <c r="H372" s="2" t="s">
        <v>1143</v>
      </c>
      <c r="I372" s="2">
        <v>74728</v>
      </c>
      <c r="J372" s="2" t="s">
        <v>24</v>
      </c>
      <c r="K372" s="2" t="s">
        <v>1144</v>
      </c>
      <c r="L372" s="2" t="s">
        <v>42</v>
      </c>
      <c r="M372" s="2" t="str">
        <f>VLOOKUP(F372,Departments!$A$1:$C$6,2,0)</f>
        <v>Sales</v>
      </c>
      <c r="N372" s="2" t="str">
        <f>INDEX(Departments!$B$1:$B$6, MATCH(Employees!F372, Departments!$A$1:$A$6, 0))</f>
        <v>Sales</v>
      </c>
      <c r="O372" s="3" t="str">
        <f>INDEX(Departments!$B$2:$B$6,MATCH(Employees!F372,Departments!$A$2:$A$6,0))</f>
        <v>Sales</v>
      </c>
      <c r="P372" s="3">
        <f>INDEX(Performance!$C$2:$C$501,MATCH(Employees!A372,Performance!$A$2:$A$501,0))</f>
        <v>4</v>
      </c>
      <c r="Q372" s="4">
        <f t="shared" si="5"/>
        <v>7472.8</v>
      </c>
    </row>
    <row r="373" spans="1:17" hidden="1" x14ac:dyDescent="0.25">
      <c r="A373" s="2" t="s">
        <v>1145</v>
      </c>
      <c r="B373" s="2" t="s">
        <v>18</v>
      </c>
      <c r="C373" s="2" t="s">
        <v>136</v>
      </c>
      <c r="D373" s="2" t="s">
        <v>29</v>
      </c>
      <c r="E373" s="2">
        <v>58</v>
      </c>
      <c r="F373" s="2" t="s">
        <v>37</v>
      </c>
      <c r="G373" s="2" t="s">
        <v>46</v>
      </c>
      <c r="H373" s="2" t="s">
        <v>202</v>
      </c>
      <c r="I373" s="2">
        <v>88207</v>
      </c>
      <c r="J373" s="2" t="s">
        <v>86</v>
      </c>
      <c r="K373" s="2" t="s">
        <v>1146</v>
      </c>
      <c r="L373" s="2" t="s">
        <v>42</v>
      </c>
      <c r="M373" s="2" t="str">
        <f>VLOOKUP(F373,Departments!$A$1:$C$6,2,0)</f>
        <v>Sales</v>
      </c>
      <c r="N373" s="2" t="str">
        <f>INDEX(Departments!$B$1:$B$6, MATCH(Employees!F373, Departments!$A$1:$A$6, 0))</f>
        <v>Sales</v>
      </c>
      <c r="O373" s="3" t="str">
        <f>INDEX(Departments!$B$2:$B$6,MATCH(Employees!F373,Departments!$A$2:$A$6,0))</f>
        <v>Sales</v>
      </c>
      <c r="P373" s="3">
        <f>INDEX(Performance!$C$2:$C$501,MATCH(Employees!A373,Performance!$A$2:$A$501,0))</f>
        <v>1</v>
      </c>
      <c r="Q373" s="4">
        <f t="shared" si="5"/>
        <v>4410.3500000000004</v>
      </c>
    </row>
    <row r="374" spans="1:17" hidden="1" x14ac:dyDescent="0.25">
      <c r="A374" s="2" t="s">
        <v>1147</v>
      </c>
      <c r="B374" s="2" t="s">
        <v>36</v>
      </c>
      <c r="C374" s="2" t="s">
        <v>84</v>
      </c>
      <c r="D374" s="2" t="s">
        <v>29</v>
      </c>
      <c r="E374" s="2">
        <v>56</v>
      </c>
      <c r="F374" s="2" t="s">
        <v>45</v>
      </c>
      <c r="G374" s="2" t="s">
        <v>46</v>
      </c>
      <c r="H374" s="2" t="s">
        <v>624</v>
      </c>
      <c r="I374" s="2">
        <v>96878</v>
      </c>
      <c r="J374" s="2" t="s">
        <v>66</v>
      </c>
      <c r="K374" s="2" t="s">
        <v>1148</v>
      </c>
      <c r="L374" s="2" t="s">
        <v>26</v>
      </c>
      <c r="M374" s="2" t="str">
        <f>VLOOKUP(F374,Departments!$A$1:$C$6,2,0)</f>
        <v>Marketing</v>
      </c>
      <c r="N374" s="2" t="str">
        <f>INDEX(Departments!$B$1:$B$6, MATCH(Employees!F374, Departments!$A$1:$A$6, 0))</f>
        <v>Marketing</v>
      </c>
      <c r="O374" s="3" t="str">
        <f>INDEX(Departments!$B$2:$B$6,MATCH(Employees!F374,Departments!$A$2:$A$6,0))</f>
        <v>Marketing</v>
      </c>
      <c r="P374" s="3">
        <f>INDEX(Performance!$C$2:$C$501,MATCH(Employees!A374,Performance!$A$2:$A$501,0))</f>
        <v>5</v>
      </c>
      <c r="Q374" s="4">
        <f t="shared" si="5"/>
        <v>14531.699999999999</v>
      </c>
    </row>
    <row r="375" spans="1:17" hidden="1" x14ac:dyDescent="0.25">
      <c r="A375" s="2" t="s">
        <v>1149</v>
      </c>
      <c r="B375" s="2" t="s">
        <v>60</v>
      </c>
      <c r="C375" s="2" t="s">
        <v>96</v>
      </c>
      <c r="D375" s="2" t="s">
        <v>20</v>
      </c>
      <c r="E375" s="2">
        <v>27</v>
      </c>
      <c r="F375" s="2" t="s">
        <v>30</v>
      </c>
      <c r="G375" s="2" t="s">
        <v>46</v>
      </c>
      <c r="H375" s="2" t="s">
        <v>1150</v>
      </c>
      <c r="I375" s="2">
        <v>49341</v>
      </c>
      <c r="J375" s="2" t="s">
        <v>66</v>
      </c>
      <c r="K375" s="2" t="s">
        <v>1151</v>
      </c>
      <c r="L375" s="2" t="s">
        <v>42</v>
      </c>
      <c r="M375" s="2" t="str">
        <f>VLOOKUP(F375,Departments!$A$1:$C$6,2,0)</f>
        <v>IT</v>
      </c>
      <c r="N375" s="2" t="str">
        <f>INDEX(Departments!$B$1:$B$6, MATCH(Employees!F375, Departments!$A$1:$A$6, 0))</f>
        <v>IT</v>
      </c>
      <c r="O375" s="3" t="str">
        <f>INDEX(Departments!$B$2:$B$6,MATCH(Employees!F375,Departments!$A$2:$A$6,0))</f>
        <v>IT</v>
      </c>
      <c r="P375" s="3">
        <f>INDEX(Performance!$C$2:$C$501,MATCH(Employees!A375,Performance!$A$2:$A$501,0))</f>
        <v>5</v>
      </c>
      <c r="Q375" s="4">
        <f t="shared" si="5"/>
        <v>7401.15</v>
      </c>
    </row>
    <row r="376" spans="1:17" hidden="1" x14ac:dyDescent="0.25">
      <c r="A376" s="2" t="s">
        <v>1152</v>
      </c>
      <c r="B376" s="2" t="s">
        <v>18</v>
      </c>
      <c r="C376" s="2" t="s">
        <v>171</v>
      </c>
      <c r="D376" s="2" t="s">
        <v>20</v>
      </c>
      <c r="E376" s="2">
        <v>57</v>
      </c>
      <c r="F376" s="2" t="s">
        <v>45</v>
      </c>
      <c r="G376" s="2" t="s">
        <v>31</v>
      </c>
      <c r="H376" s="2" t="s">
        <v>1153</v>
      </c>
      <c r="I376" s="2">
        <v>87757</v>
      </c>
      <c r="J376" s="2" t="s">
        <v>24</v>
      </c>
      <c r="K376" s="2" t="s">
        <v>1154</v>
      </c>
      <c r="L376" s="2" t="s">
        <v>26</v>
      </c>
      <c r="M376" s="2" t="str">
        <f>VLOOKUP(F376,Departments!$A$1:$C$6,2,0)</f>
        <v>Marketing</v>
      </c>
      <c r="N376" s="2" t="str">
        <f>INDEX(Departments!$B$1:$B$6, MATCH(Employees!F376, Departments!$A$1:$A$6, 0))</f>
        <v>Marketing</v>
      </c>
      <c r="O376" s="3" t="str">
        <f>INDEX(Departments!$B$2:$B$6,MATCH(Employees!F376,Departments!$A$2:$A$6,0))</f>
        <v>Marketing</v>
      </c>
      <c r="P376" s="3">
        <f>INDEX(Performance!$C$2:$C$501,MATCH(Employees!A376,Performance!$A$2:$A$501,0))</f>
        <v>3</v>
      </c>
      <c r="Q376" s="4">
        <f t="shared" si="5"/>
        <v>6142.9900000000007</v>
      </c>
    </row>
    <row r="377" spans="1:17" x14ac:dyDescent="0.25">
      <c r="A377" s="2" t="s">
        <v>1155</v>
      </c>
      <c r="B377" s="2" t="s">
        <v>100</v>
      </c>
      <c r="C377" s="2" t="s">
        <v>19</v>
      </c>
      <c r="D377" s="2" t="s">
        <v>20</v>
      </c>
      <c r="E377" s="2">
        <v>28</v>
      </c>
      <c r="F377" s="2" t="s">
        <v>56</v>
      </c>
      <c r="G377" s="2" t="s">
        <v>22</v>
      </c>
      <c r="H377" s="2" t="s">
        <v>1156</v>
      </c>
      <c r="I377" s="2">
        <v>113590</v>
      </c>
      <c r="J377" s="2" t="s">
        <v>24</v>
      </c>
      <c r="K377" s="2" t="s">
        <v>1157</v>
      </c>
      <c r="L377" s="2" t="s">
        <v>42</v>
      </c>
      <c r="M377" s="2" t="str">
        <f>VLOOKUP(F377,Departments!$A$1:$C$6,2,0)</f>
        <v>Finance</v>
      </c>
      <c r="N377" s="2" t="str">
        <f>INDEX(Departments!$B$1:$B$6, MATCH(Employees!F377, Departments!$A$1:$A$6, 0))</f>
        <v>Finance</v>
      </c>
      <c r="O377" s="6" t="str">
        <f>INDEX(Departments!$B$2:$B$6,MATCH(Employees!F377,Departments!$A$2:$A$6,0))</f>
        <v>Finance</v>
      </c>
      <c r="P377" s="6">
        <f>_xlfn.XLOOKUP(A377,Performance!$A$2:$A$501,Performance!$C$2:$C$501)</f>
        <v>3</v>
      </c>
      <c r="Q377" s="7">
        <f t="shared" si="5"/>
        <v>7951.3000000000011</v>
      </c>
    </row>
    <row r="378" spans="1:17" hidden="1" x14ac:dyDescent="0.25">
      <c r="A378" s="2" t="s">
        <v>1158</v>
      </c>
      <c r="B378" s="2" t="s">
        <v>60</v>
      </c>
      <c r="C378" s="2" t="s">
        <v>96</v>
      </c>
      <c r="D378" s="2" t="s">
        <v>20</v>
      </c>
      <c r="E378" s="2">
        <v>37</v>
      </c>
      <c r="F378" s="2" t="s">
        <v>21</v>
      </c>
      <c r="G378" s="2" t="s">
        <v>38</v>
      </c>
      <c r="H378" s="2" t="s">
        <v>1159</v>
      </c>
      <c r="I378" s="2">
        <v>82897</v>
      </c>
      <c r="J378" s="2" t="s">
        <v>40</v>
      </c>
      <c r="K378" s="2" t="s">
        <v>1160</v>
      </c>
      <c r="L378" s="2" t="s">
        <v>26</v>
      </c>
      <c r="M378" s="2" t="str">
        <f>VLOOKUP(F378,Departments!$A$1:$C$6,2,0)</f>
        <v>HR</v>
      </c>
      <c r="N378" s="2" t="str">
        <f>INDEX(Departments!$B$1:$B$6, MATCH(Employees!F378, Departments!$A$1:$A$6, 0))</f>
        <v>HR</v>
      </c>
      <c r="O378" s="3" t="str">
        <f>INDEX(Departments!$B$2:$B$6,MATCH(Employees!F378,Departments!$A$2:$A$6,0))</f>
        <v>HR</v>
      </c>
      <c r="P378" s="3">
        <f>INDEX(Performance!$C$2:$C$501,MATCH(Employees!A378,Performance!$A$2:$A$501,0))</f>
        <v>1</v>
      </c>
      <c r="Q378" s="4">
        <f t="shared" si="5"/>
        <v>4144.8500000000004</v>
      </c>
    </row>
    <row r="379" spans="1:17" hidden="1" x14ac:dyDescent="0.25">
      <c r="A379" s="2" t="s">
        <v>1161</v>
      </c>
      <c r="B379" s="2" t="s">
        <v>100</v>
      </c>
      <c r="C379" s="2" t="s">
        <v>96</v>
      </c>
      <c r="D379" s="2" t="s">
        <v>20</v>
      </c>
      <c r="E379" s="2">
        <v>37</v>
      </c>
      <c r="F379" s="2" t="s">
        <v>30</v>
      </c>
      <c r="G379" s="2" t="s">
        <v>38</v>
      </c>
      <c r="H379" s="2" t="s">
        <v>1162</v>
      </c>
      <c r="I379" s="2">
        <v>69652</v>
      </c>
      <c r="J379" s="2" t="s">
        <v>71</v>
      </c>
      <c r="K379" s="2" t="s">
        <v>1163</v>
      </c>
      <c r="L379" s="2" t="s">
        <v>42</v>
      </c>
      <c r="M379" s="2" t="str">
        <f>VLOOKUP(F379,Departments!$A$1:$C$6,2,0)</f>
        <v>IT</v>
      </c>
      <c r="N379" s="2" t="str">
        <f>INDEX(Departments!$B$1:$B$6, MATCH(Employees!F379, Departments!$A$1:$A$6, 0))</f>
        <v>IT</v>
      </c>
      <c r="O379" s="3" t="str">
        <f>INDEX(Departments!$B$2:$B$6,MATCH(Employees!F379,Departments!$A$2:$A$6,0))</f>
        <v>IT</v>
      </c>
      <c r="P379" s="3">
        <f>INDEX(Performance!$C$2:$C$501,MATCH(Employees!A379,Performance!$A$2:$A$501,0))</f>
        <v>3</v>
      </c>
      <c r="Q379" s="4">
        <f t="shared" si="5"/>
        <v>4875.6400000000003</v>
      </c>
    </row>
    <row r="380" spans="1:17" hidden="1" x14ac:dyDescent="0.25">
      <c r="A380" s="2" t="s">
        <v>1164</v>
      </c>
      <c r="B380" s="2" t="s">
        <v>64</v>
      </c>
      <c r="C380" s="2" t="s">
        <v>19</v>
      </c>
      <c r="D380" s="2" t="s">
        <v>20</v>
      </c>
      <c r="E380" s="2">
        <v>22</v>
      </c>
      <c r="F380" s="2" t="s">
        <v>30</v>
      </c>
      <c r="G380" s="2" t="s">
        <v>114</v>
      </c>
      <c r="H380" s="2" t="s">
        <v>1165</v>
      </c>
      <c r="I380" s="2">
        <v>92754</v>
      </c>
      <c r="J380" s="2" t="s">
        <v>24</v>
      </c>
      <c r="K380" s="2" t="s">
        <v>1166</v>
      </c>
      <c r="L380" s="2" t="s">
        <v>26</v>
      </c>
      <c r="M380" s="2" t="str">
        <f>VLOOKUP(F380,Departments!$A$1:$C$6,2,0)</f>
        <v>IT</v>
      </c>
      <c r="N380" s="2" t="str">
        <f>INDEX(Departments!$B$1:$B$6, MATCH(Employees!F380, Departments!$A$1:$A$6, 0))</f>
        <v>IT</v>
      </c>
      <c r="O380" s="3" t="str">
        <f>INDEX(Departments!$B$2:$B$6,MATCH(Employees!F380,Departments!$A$2:$A$6,0))</f>
        <v>IT</v>
      </c>
      <c r="P380" s="3">
        <f>INDEX(Performance!$C$2:$C$501,MATCH(Employees!A380,Performance!$A$2:$A$501,0))</f>
        <v>3</v>
      </c>
      <c r="Q380" s="4">
        <f t="shared" si="5"/>
        <v>6492.7800000000007</v>
      </c>
    </row>
    <row r="381" spans="1:17" hidden="1" x14ac:dyDescent="0.25">
      <c r="A381" s="2" t="s">
        <v>1167</v>
      </c>
      <c r="B381" s="2" t="s">
        <v>55</v>
      </c>
      <c r="C381" s="2" t="s">
        <v>19</v>
      </c>
      <c r="D381" s="2" t="s">
        <v>29</v>
      </c>
      <c r="E381" s="2">
        <v>24</v>
      </c>
      <c r="F381" s="2" t="s">
        <v>30</v>
      </c>
      <c r="G381" s="2" t="s">
        <v>22</v>
      </c>
      <c r="H381" s="2" t="s">
        <v>1168</v>
      </c>
      <c r="I381" s="2">
        <v>65180</v>
      </c>
      <c r="J381" s="2" t="s">
        <v>71</v>
      </c>
      <c r="K381" s="2" t="s">
        <v>1169</v>
      </c>
      <c r="L381" s="2" t="s">
        <v>26</v>
      </c>
      <c r="M381" s="2" t="str">
        <f>VLOOKUP(F381,Departments!$A$1:$C$6,2,0)</f>
        <v>IT</v>
      </c>
      <c r="N381" s="2" t="str">
        <f>INDEX(Departments!$B$1:$B$6, MATCH(Employees!F381, Departments!$A$1:$A$6, 0))</f>
        <v>IT</v>
      </c>
      <c r="O381" s="3" t="str">
        <f>INDEX(Departments!$B$2:$B$6,MATCH(Employees!F381,Departments!$A$2:$A$6,0))</f>
        <v>IT</v>
      </c>
      <c r="P381" s="3">
        <f>INDEX(Performance!$C$2:$C$501,MATCH(Employees!A381,Performance!$A$2:$A$501,0))</f>
        <v>2</v>
      </c>
      <c r="Q381" s="4">
        <f t="shared" si="5"/>
        <v>3259</v>
      </c>
    </row>
    <row r="382" spans="1:17" hidden="1" x14ac:dyDescent="0.25">
      <c r="A382" s="2" t="s">
        <v>1170</v>
      </c>
      <c r="B382" s="2" t="s">
        <v>44</v>
      </c>
      <c r="C382" s="2" t="s">
        <v>69</v>
      </c>
      <c r="D382" s="2" t="s">
        <v>20</v>
      </c>
      <c r="E382" s="2">
        <v>60</v>
      </c>
      <c r="F382" s="2" t="s">
        <v>37</v>
      </c>
      <c r="G382" s="2" t="s">
        <v>31</v>
      </c>
      <c r="H382" s="2" t="s">
        <v>264</v>
      </c>
      <c r="I382" s="2">
        <v>93081</v>
      </c>
      <c r="J382" s="2" t="s">
        <v>71</v>
      </c>
      <c r="K382" s="2" t="s">
        <v>1171</v>
      </c>
      <c r="L382" s="2" t="s">
        <v>26</v>
      </c>
      <c r="M382" s="2" t="str">
        <f>VLOOKUP(F382,Departments!$A$1:$C$6,2,0)</f>
        <v>Sales</v>
      </c>
      <c r="N382" s="2" t="str">
        <f>INDEX(Departments!$B$1:$B$6, MATCH(Employees!F382, Departments!$A$1:$A$6, 0))</f>
        <v>Sales</v>
      </c>
      <c r="O382" s="3" t="str">
        <f>INDEX(Departments!$B$2:$B$6,MATCH(Employees!F382,Departments!$A$2:$A$6,0))</f>
        <v>Sales</v>
      </c>
      <c r="P382" s="3">
        <f>INDEX(Performance!$C$2:$C$501,MATCH(Employees!A382,Performance!$A$2:$A$501,0))</f>
        <v>4</v>
      </c>
      <c r="Q382" s="4">
        <f t="shared" si="5"/>
        <v>9308.1</v>
      </c>
    </row>
    <row r="383" spans="1:17" hidden="1" x14ac:dyDescent="0.25">
      <c r="A383" s="2" t="s">
        <v>1172</v>
      </c>
      <c r="B383" s="2" t="s">
        <v>44</v>
      </c>
      <c r="C383" s="2" t="s">
        <v>69</v>
      </c>
      <c r="D383" s="2" t="s">
        <v>20</v>
      </c>
      <c r="E383" s="2">
        <v>57</v>
      </c>
      <c r="F383" s="2" t="s">
        <v>30</v>
      </c>
      <c r="G383" s="2" t="s">
        <v>38</v>
      </c>
      <c r="H383" s="2" t="s">
        <v>1173</v>
      </c>
      <c r="I383" s="2">
        <v>91007</v>
      </c>
      <c r="J383" s="2" t="s">
        <v>66</v>
      </c>
      <c r="K383" s="2" t="s">
        <v>1174</v>
      </c>
      <c r="L383" s="2" t="s">
        <v>42</v>
      </c>
      <c r="M383" s="2" t="str">
        <f>VLOOKUP(F383,Departments!$A$1:$C$6,2,0)</f>
        <v>IT</v>
      </c>
      <c r="N383" s="2" t="str">
        <f>INDEX(Departments!$B$1:$B$6, MATCH(Employees!F383, Departments!$A$1:$A$6, 0))</f>
        <v>IT</v>
      </c>
      <c r="O383" s="3" t="str">
        <f>INDEX(Departments!$B$2:$B$6,MATCH(Employees!F383,Departments!$A$2:$A$6,0))</f>
        <v>IT</v>
      </c>
      <c r="P383" s="3">
        <f>INDEX(Performance!$C$2:$C$501,MATCH(Employees!A383,Performance!$A$2:$A$501,0))</f>
        <v>3</v>
      </c>
      <c r="Q383" s="4">
        <f t="shared" si="5"/>
        <v>6370.4900000000007</v>
      </c>
    </row>
    <row r="384" spans="1:17" hidden="1" x14ac:dyDescent="0.25">
      <c r="A384" s="2" t="s">
        <v>1175</v>
      </c>
      <c r="B384" s="2" t="s">
        <v>50</v>
      </c>
      <c r="C384" s="2" t="s">
        <v>136</v>
      </c>
      <c r="D384" s="2" t="s">
        <v>20</v>
      </c>
      <c r="E384" s="2">
        <v>32</v>
      </c>
      <c r="F384" s="2" t="s">
        <v>30</v>
      </c>
      <c r="G384" s="2" t="s">
        <v>46</v>
      </c>
      <c r="H384" s="2" t="s">
        <v>1176</v>
      </c>
      <c r="I384" s="2">
        <v>88127</v>
      </c>
      <c r="J384" s="2" t="s">
        <v>71</v>
      </c>
      <c r="K384" s="2" t="s">
        <v>1177</v>
      </c>
      <c r="L384" s="2" t="s">
        <v>26</v>
      </c>
      <c r="M384" s="2" t="str">
        <f>VLOOKUP(F384,Departments!$A$1:$C$6,2,0)</f>
        <v>IT</v>
      </c>
      <c r="N384" s="2" t="str">
        <f>INDEX(Departments!$B$1:$B$6, MATCH(Employees!F384, Departments!$A$1:$A$6, 0))</f>
        <v>IT</v>
      </c>
      <c r="O384" s="3" t="str">
        <f>INDEX(Departments!$B$2:$B$6,MATCH(Employees!F384,Departments!$A$2:$A$6,0))</f>
        <v>IT</v>
      </c>
      <c r="P384" s="3">
        <f>INDEX(Performance!$C$2:$C$501,MATCH(Employees!A384,Performance!$A$2:$A$501,0))</f>
        <v>4</v>
      </c>
      <c r="Q384" s="4">
        <f t="shared" si="5"/>
        <v>8812.7000000000007</v>
      </c>
    </row>
    <row r="385" spans="1:17" hidden="1" x14ac:dyDescent="0.25">
      <c r="A385" s="2" t="s">
        <v>1178</v>
      </c>
      <c r="B385" s="2" t="s">
        <v>36</v>
      </c>
      <c r="C385" s="2" t="s">
        <v>84</v>
      </c>
      <c r="D385" s="2" t="s">
        <v>29</v>
      </c>
      <c r="E385" s="2">
        <v>34</v>
      </c>
      <c r="F385" s="2" t="s">
        <v>21</v>
      </c>
      <c r="G385" s="2" t="s">
        <v>31</v>
      </c>
      <c r="H385" s="2" t="s">
        <v>1179</v>
      </c>
      <c r="I385" s="2">
        <v>70318</v>
      </c>
      <c r="J385" s="2" t="s">
        <v>24</v>
      </c>
      <c r="K385" s="2" t="s">
        <v>1180</v>
      </c>
      <c r="L385" s="2" t="s">
        <v>42</v>
      </c>
      <c r="M385" s="2" t="str">
        <f>VLOOKUP(F385,Departments!$A$1:$C$6,2,0)</f>
        <v>HR</v>
      </c>
      <c r="N385" s="2" t="str">
        <f>INDEX(Departments!$B$1:$B$6, MATCH(Employees!F385, Departments!$A$1:$A$6, 0))</f>
        <v>HR</v>
      </c>
      <c r="O385" s="3" t="str">
        <f>INDEX(Departments!$B$2:$B$6,MATCH(Employees!F385,Departments!$A$2:$A$6,0))</f>
        <v>HR</v>
      </c>
      <c r="P385" s="3">
        <f>INDEX(Performance!$C$2:$C$501,MATCH(Employees!A385,Performance!$A$2:$A$501,0))</f>
        <v>2</v>
      </c>
      <c r="Q385" s="4">
        <f t="shared" si="5"/>
        <v>3515.9</v>
      </c>
    </row>
    <row r="386" spans="1:17" hidden="1" x14ac:dyDescent="0.25">
      <c r="A386" s="2" t="s">
        <v>1181</v>
      </c>
      <c r="B386" s="2" t="s">
        <v>36</v>
      </c>
      <c r="C386" s="2" t="s">
        <v>101</v>
      </c>
      <c r="D386" s="2" t="s">
        <v>20</v>
      </c>
      <c r="E386" s="2">
        <v>31</v>
      </c>
      <c r="F386" s="2" t="s">
        <v>37</v>
      </c>
      <c r="G386" s="2" t="s">
        <v>114</v>
      </c>
      <c r="H386" s="2" t="s">
        <v>572</v>
      </c>
      <c r="I386" s="2">
        <v>47884</v>
      </c>
      <c r="J386" s="2" t="s">
        <v>40</v>
      </c>
      <c r="K386" s="2" t="s">
        <v>1182</v>
      </c>
      <c r="L386" s="2" t="s">
        <v>26</v>
      </c>
      <c r="M386" s="2" t="str">
        <f>VLOOKUP(F386,Departments!$A$1:$C$6,2,0)</f>
        <v>Sales</v>
      </c>
      <c r="N386" s="2" t="str">
        <f>INDEX(Departments!$B$1:$B$6, MATCH(Employees!F386, Departments!$A$1:$A$6, 0))</f>
        <v>Sales</v>
      </c>
      <c r="O386" s="3" t="str">
        <f>INDEX(Departments!$B$2:$B$6,MATCH(Employees!F386,Departments!$A$2:$A$6,0))</f>
        <v>Sales</v>
      </c>
      <c r="P386" s="3">
        <f>INDEX(Performance!$C$2:$C$501,MATCH(Employees!A386,Performance!$A$2:$A$501,0))</f>
        <v>4</v>
      </c>
      <c r="Q386" s="4">
        <f t="shared" ref="Q386:Q449" si="6">IF(P386=5,I386*0.15,IF(P386=4,I386*0.1,IF(P386=3,I386*0.07,IF(P386&lt;3,I386*0.05,0))))</f>
        <v>4788.4000000000005</v>
      </c>
    </row>
    <row r="387" spans="1:17" hidden="1" x14ac:dyDescent="0.25">
      <c r="A387" s="2" t="s">
        <v>1183</v>
      </c>
      <c r="B387" s="2" t="s">
        <v>149</v>
      </c>
      <c r="C387" s="2" t="s">
        <v>19</v>
      </c>
      <c r="D387" s="2" t="s">
        <v>20</v>
      </c>
      <c r="E387" s="2">
        <v>48</v>
      </c>
      <c r="F387" s="2" t="s">
        <v>56</v>
      </c>
      <c r="G387" s="2" t="s">
        <v>114</v>
      </c>
      <c r="H387" s="2" t="s">
        <v>1184</v>
      </c>
      <c r="I387" s="2">
        <v>71987</v>
      </c>
      <c r="J387" s="2" t="s">
        <v>40</v>
      </c>
      <c r="K387" s="2" t="s">
        <v>1185</v>
      </c>
      <c r="L387" s="2" t="s">
        <v>42</v>
      </c>
      <c r="M387" s="2" t="str">
        <f>VLOOKUP(F387,Departments!$A$1:$C$6,2,0)</f>
        <v>Finance</v>
      </c>
      <c r="N387" s="2" t="str">
        <f>INDEX(Departments!$B$1:$B$6, MATCH(Employees!F387, Departments!$A$1:$A$6, 0))</f>
        <v>Finance</v>
      </c>
      <c r="O387" s="3" t="str">
        <f>INDEX(Departments!$B$2:$B$6,MATCH(Employees!F387,Departments!$A$2:$A$6,0))</f>
        <v>Finance</v>
      </c>
      <c r="P387" s="3">
        <f>INDEX(Performance!$C$2:$C$501,MATCH(Employees!A387,Performance!$A$2:$A$501,0))</f>
        <v>4</v>
      </c>
      <c r="Q387" s="4">
        <f t="shared" si="6"/>
        <v>7198.7000000000007</v>
      </c>
    </row>
    <row r="388" spans="1:17" hidden="1" x14ac:dyDescent="0.25">
      <c r="A388" s="2" t="s">
        <v>1186</v>
      </c>
      <c r="B388" s="2" t="s">
        <v>64</v>
      </c>
      <c r="C388" s="2" t="s">
        <v>136</v>
      </c>
      <c r="D388" s="2" t="s">
        <v>29</v>
      </c>
      <c r="E388" s="2">
        <v>52</v>
      </c>
      <c r="F388" s="2" t="s">
        <v>45</v>
      </c>
      <c r="G388" s="2" t="s">
        <v>46</v>
      </c>
      <c r="H388" s="2" t="s">
        <v>1187</v>
      </c>
      <c r="I388" s="2">
        <v>108773</v>
      </c>
      <c r="J388" s="2" t="s">
        <v>66</v>
      </c>
      <c r="K388" s="2" t="s">
        <v>1188</v>
      </c>
      <c r="L388" s="2" t="s">
        <v>42</v>
      </c>
      <c r="M388" s="2" t="str">
        <f>VLOOKUP(F388,Departments!$A$1:$C$6,2,0)</f>
        <v>Marketing</v>
      </c>
      <c r="N388" s="2" t="str">
        <f>INDEX(Departments!$B$1:$B$6, MATCH(Employees!F388, Departments!$A$1:$A$6, 0))</f>
        <v>Marketing</v>
      </c>
      <c r="O388" s="3" t="str">
        <f>INDEX(Departments!$B$2:$B$6,MATCH(Employees!F388,Departments!$A$2:$A$6,0))</f>
        <v>Marketing</v>
      </c>
      <c r="P388" s="3">
        <f>INDEX(Performance!$C$2:$C$501,MATCH(Employees!A388,Performance!$A$2:$A$501,0))</f>
        <v>1</v>
      </c>
      <c r="Q388" s="4">
        <f t="shared" si="6"/>
        <v>5438.6500000000005</v>
      </c>
    </row>
    <row r="389" spans="1:17" hidden="1" x14ac:dyDescent="0.25">
      <c r="A389" s="2" t="s">
        <v>1189</v>
      </c>
      <c r="B389" s="2" t="s">
        <v>77</v>
      </c>
      <c r="C389" s="2" t="s">
        <v>136</v>
      </c>
      <c r="D389" s="2" t="s">
        <v>20</v>
      </c>
      <c r="E389" s="2">
        <v>58</v>
      </c>
      <c r="F389" s="2" t="s">
        <v>30</v>
      </c>
      <c r="G389" s="2" t="s">
        <v>46</v>
      </c>
      <c r="H389" s="2" t="s">
        <v>1190</v>
      </c>
      <c r="I389" s="2">
        <v>115133</v>
      </c>
      <c r="J389" s="2" t="s">
        <v>40</v>
      </c>
      <c r="K389" s="2" t="s">
        <v>1191</v>
      </c>
      <c r="L389" s="2" t="s">
        <v>26</v>
      </c>
      <c r="M389" s="2" t="str">
        <f>VLOOKUP(F389,Departments!$A$1:$C$6,2,0)</f>
        <v>IT</v>
      </c>
      <c r="N389" s="2" t="str">
        <f>INDEX(Departments!$B$1:$B$6, MATCH(Employees!F389, Departments!$A$1:$A$6, 0))</f>
        <v>IT</v>
      </c>
      <c r="O389" s="3" t="str">
        <f>INDEX(Departments!$B$2:$B$6,MATCH(Employees!F389,Departments!$A$2:$A$6,0))</f>
        <v>IT</v>
      </c>
      <c r="P389" s="3">
        <f>INDEX(Performance!$C$2:$C$501,MATCH(Employees!A389,Performance!$A$2:$A$501,0))</f>
        <v>1</v>
      </c>
      <c r="Q389" s="4">
        <f t="shared" si="6"/>
        <v>5756.6500000000005</v>
      </c>
    </row>
    <row r="390" spans="1:17" hidden="1" x14ac:dyDescent="0.25">
      <c r="A390" s="2" t="s">
        <v>1192</v>
      </c>
      <c r="B390" s="2" t="s">
        <v>100</v>
      </c>
      <c r="C390" s="2" t="s">
        <v>171</v>
      </c>
      <c r="D390" s="2" t="s">
        <v>29</v>
      </c>
      <c r="E390" s="2">
        <v>50</v>
      </c>
      <c r="F390" s="2" t="s">
        <v>21</v>
      </c>
      <c r="G390" s="2" t="s">
        <v>31</v>
      </c>
      <c r="H390" s="2" t="s">
        <v>1193</v>
      </c>
      <c r="I390" s="2">
        <v>44417</v>
      </c>
      <c r="J390" s="2" t="s">
        <v>86</v>
      </c>
      <c r="K390" s="2" t="s">
        <v>1194</v>
      </c>
      <c r="L390" s="2" t="s">
        <v>42</v>
      </c>
      <c r="M390" s="2" t="str">
        <f>VLOOKUP(F390,Departments!$A$1:$C$6,2,0)</f>
        <v>HR</v>
      </c>
      <c r="N390" s="2" t="str">
        <f>INDEX(Departments!$B$1:$B$6, MATCH(Employees!F390, Departments!$A$1:$A$6, 0))</f>
        <v>HR</v>
      </c>
      <c r="O390" s="3" t="str">
        <f>INDEX(Departments!$B$2:$B$6,MATCH(Employees!F390,Departments!$A$2:$A$6,0))</f>
        <v>HR</v>
      </c>
      <c r="P390" s="3">
        <f>INDEX(Performance!$C$2:$C$501,MATCH(Employees!A390,Performance!$A$2:$A$501,0))</f>
        <v>3</v>
      </c>
      <c r="Q390" s="4">
        <f t="shared" si="6"/>
        <v>3109.1900000000005</v>
      </c>
    </row>
    <row r="391" spans="1:17" hidden="1" x14ac:dyDescent="0.25">
      <c r="A391" s="2" t="s">
        <v>1195</v>
      </c>
      <c r="B391" s="2" t="s">
        <v>36</v>
      </c>
      <c r="C391" s="2" t="s">
        <v>84</v>
      </c>
      <c r="D391" s="2" t="s">
        <v>29</v>
      </c>
      <c r="E391" s="2">
        <v>46</v>
      </c>
      <c r="F391" s="2" t="s">
        <v>37</v>
      </c>
      <c r="G391" s="2" t="s">
        <v>22</v>
      </c>
      <c r="H391" s="2" t="s">
        <v>1196</v>
      </c>
      <c r="I391" s="2">
        <v>107012</v>
      </c>
      <c r="J391" s="2" t="s">
        <v>71</v>
      </c>
      <c r="K391" s="2" t="s">
        <v>1197</v>
      </c>
      <c r="L391" s="2" t="s">
        <v>26</v>
      </c>
      <c r="M391" s="2" t="str">
        <f>VLOOKUP(F391,Departments!$A$1:$C$6,2,0)</f>
        <v>Sales</v>
      </c>
      <c r="N391" s="2" t="str">
        <f>INDEX(Departments!$B$1:$B$6, MATCH(Employees!F391, Departments!$A$1:$A$6, 0))</f>
        <v>Sales</v>
      </c>
      <c r="O391" s="3" t="str">
        <f>INDEX(Departments!$B$2:$B$6,MATCH(Employees!F391,Departments!$A$2:$A$6,0))</f>
        <v>Sales</v>
      </c>
      <c r="P391" s="3">
        <f>INDEX(Performance!$C$2:$C$501,MATCH(Employees!A391,Performance!$A$2:$A$501,0))</f>
        <v>5</v>
      </c>
      <c r="Q391" s="4">
        <f t="shared" si="6"/>
        <v>16051.8</v>
      </c>
    </row>
    <row r="392" spans="1:17" hidden="1" x14ac:dyDescent="0.25">
      <c r="A392" s="2" t="s">
        <v>1198</v>
      </c>
      <c r="B392" s="2" t="s">
        <v>55</v>
      </c>
      <c r="C392" s="2" t="s">
        <v>84</v>
      </c>
      <c r="D392" s="2" t="s">
        <v>20</v>
      </c>
      <c r="E392" s="2">
        <v>23</v>
      </c>
      <c r="F392" s="2" t="s">
        <v>56</v>
      </c>
      <c r="G392" s="2" t="s">
        <v>31</v>
      </c>
      <c r="H392" s="2" t="s">
        <v>1199</v>
      </c>
      <c r="I392" s="2">
        <v>78597</v>
      </c>
      <c r="J392" s="2" t="s">
        <v>40</v>
      </c>
      <c r="K392" s="2" t="s">
        <v>1200</v>
      </c>
      <c r="L392" s="2" t="s">
        <v>26</v>
      </c>
      <c r="M392" s="2" t="str">
        <f>VLOOKUP(F392,Departments!$A$1:$C$6,2,0)</f>
        <v>Finance</v>
      </c>
      <c r="N392" s="2" t="str">
        <f>INDEX(Departments!$B$1:$B$6, MATCH(Employees!F392, Departments!$A$1:$A$6, 0))</f>
        <v>Finance</v>
      </c>
      <c r="O392" s="3" t="str">
        <f>INDEX(Departments!$B$2:$B$6,MATCH(Employees!F392,Departments!$A$2:$A$6,0))</f>
        <v>Finance</v>
      </c>
      <c r="P392" s="3">
        <f>INDEX(Performance!$C$2:$C$501,MATCH(Employees!A392,Performance!$A$2:$A$501,0))</f>
        <v>5</v>
      </c>
      <c r="Q392" s="4">
        <f t="shared" si="6"/>
        <v>11789.55</v>
      </c>
    </row>
    <row r="393" spans="1:17" hidden="1" x14ac:dyDescent="0.25">
      <c r="A393" s="2" t="s">
        <v>1201</v>
      </c>
      <c r="B393" s="2" t="s">
        <v>64</v>
      </c>
      <c r="C393" s="2" t="s">
        <v>96</v>
      </c>
      <c r="D393" s="2" t="s">
        <v>20</v>
      </c>
      <c r="E393" s="2">
        <v>44</v>
      </c>
      <c r="F393" s="2" t="s">
        <v>30</v>
      </c>
      <c r="G393" s="2" t="s">
        <v>114</v>
      </c>
      <c r="H393" s="2" t="s">
        <v>1202</v>
      </c>
      <c r="I393" s="2">
        <v>77085</v>
      </c>
      <c r="J393" s="2" t="s">
        <v>86</v>
      </c>
      <c r="K393" s="2" t="s">
        <v>1203</v>
      </c>
      <c r="L393" s="2" t="s">
        <v>42</v>
      </c>
      <c r="M393" s="2" t="str">
        <f>VLOOKUP(F393,Departments!$A$1:$C$6,2,0)</f>
        <v>IT</v>
      </c>
      <c r="N393" s="2" t="str">
        <f>INDEX(Departments!$B$1:$B$6, MATCH(Employees!F393, Departments!$A$1:$A$6, 0))</f>
        <v>IT</v>
      </c>
      <c r="O393" s="3" t="str">
        <f>INDEX(Departments!$B$2:$B$6,MATCH(Employees!F393,Departments!$A$2:$A$6,0))</f>
        <v>IT</v>
      </c>
      <c r="P393" s="3">
        <f>INDEX(Performance!$C$2:$C$501,MATCH(Employees!A393,Performance!$A$2:$A$501,0))</f>
        <v>4</v>
      </c>
      <c r="Q393" s="4">
        <f t="shared" si="6"/>
        <v>7708.5</v>
      </c>
    </row>
    <row r="394" spans="1:17" hidden="1" x14ac:dyDescent="0.25">
      <c r="A394" s="2" t="s">
        <v>1204</v>
      </c>
      <c r="B394" s="2" t="s">
        <v>50</v>
      </c>
      <c r="C394" s="2" t="s">
        <v>96</v>
      </c>
      <c r="D394" s="2" t="s">
        <v>29</v>
      </c>
      <c r="E394" s="2">
        <v>52</v>
      </c>
      <c r="F394" s="2" t="s">
        <v>56</v>
      </c>
      <c r="G394" s="2" t="s">
        <v>114</v>
      </c>
      <c r="H394" s="2" t="s">
        <v>1205</v>
      </c>
      <c r="I394" s="2">
        <v>98031</v>
      </c>
      <c r="J394" s="2" t="s">
        <v>66</v>
      </c>
      <c r="K394" s="2" t="s">
        <v>1206</v>
      </c>
      <c r="L394" s="2" t="s">
        <v>42</v>
      </c>
      <c r="M394" s="2" t="str">
        <f>VLOOKUP(F394,Departments!$A$1:$C$6,2,0)</f>
        <v>Finance</v>
      </c>
      <c r="N394" s="2" t="str">
        <f>INDEX(Departments!$B$1:$B$6, MATCH(Employees!F394, Departments!$A$1:$A$6, 0))</f>
        <v>Finance</v>
      </c>
      <c r="O394" s="3" t="str">
        <f>INDEX(Departments!$B$2:$B$6,MATCH(Employees!F394,Departments!$A$2:$A$6,0))</f>
        <v>Finance</v>
      </c>
      <c r="P394" s="3">
        <f>INDEX(Performance!$C$2:$C$501,MATCH(Employees!A394,Performance!$A$2:$A$501,0))</f>
        <v>4</v>
      </c>
      <c r="Q394" s="4">
        <f t="shared" si="6"/>
        <v>9803.1</v>
      </c>
    </row>
    <row r="395" spans="1:17" hidden="1" x14ac:dyDescent="0.25">
      <c r="A395" s="2" t="s">
        <v>1207</v>
      </c>
      <c r="B395" s="2" t="s">
        <v>60</v>
      </c>
      <c r="C395" s="2" t="s">
        <v>89</v>
      </c>
      <c r="D395" s="2" t="s">
        <v>29</v>
      </c>
      <c r="E395" s="2">
        <v>47</v>
      </c>
      <c r="F395" s="2" t="s">
        <v>37</v>
      </c>
      <c r="G395" s="2" t="s">
        <v>31</v>
      </c>
      <c r="H395" s="2" t="s">
        <v>1208</v>
      </c>
      <c r="I395" s="2">
        <v>59479</v>
      </c>
      <c r="J395" s="2" t="s">
        <v>40</v>
      </c>
      <c r="K395" s="2" t="s">
        <v>1209</v>
      </c>
      <c r="L395" s="2" t="s">
        <v>42</v>
      </c>
      <c r="M395" s="2" t="str">
        <f>VLOOKUP(F395,Departments!$A$1:$C$6,2,0)</f>
        <v>Sales</v>
      </c>
      <c r="N395" s="2" t="str">
        <f>INDEX(Departments!$B$1:$B$6, MATCH(Employees!F395, Departments!$A$1:$A$6, 0))</f>
        <v>Sales</v>
      </c>
      <c r="O395" s="3" t="str">
        <f>INDEX(Departments!$B$2:$B$6,MATCH(Employees!F395,Departments!$A$2:$A$6,0))</f>
        <v>Sales</v>
      </c>
      <c r="P395" s="3">
        <f>INDEX(Performance!$C$2:$C$501,MATCH(Employees!A395,Performance!$A$2:$A$501,0))</f>
        <v>4</v>
      </c>
      <c r="Q395" s="4">
        <f t="shared" si="6"/>
        <v>5947.9000000000005</v>
      </c>
    </row>
    <row r="396" spans="1:17" hidden="1" x14ac:dyDescent="0.25">
      <c r="A396" s="2" t="s">
        <v>1210</v>
      </c>
      <c r="B396" s="2" t="s">
        <v>55</v>
      </c>
      <c r="C396" s="2" t="s">
        <v>19</v>
      </c>
      <c r="D396" s="2" t="s">
        <v>29</v>
      </c>
      <c r="E396" s="2">
        <v>25</v>
      </c>
      <c r="F396" s="2" t="s">
        <v>56</v>
      </c>
      <c r="G396" s="2" t="s">
        <v>46</v>
      </c>
      <c r="H396" s="2" t="s">
        <v>1211</v>
      </c>
      <c r="I396" s="2">
        <v>82566</v>
      </c>
      <c r="J396" s="2" t="s">
        <v>24</v>
      </c>
      <c r="K396" s="2" t="s">
        <v>1212</v>
      </c>
      <c r="L396" s="2" t="s">
        <v>26</v>
      </c>
      <c r="M396" s="2" t="str">
        <f>VLOOKUP(F396,Departments!$A$1:$C$6,2,0)</f>
        <v>Finance</v>
      </c>
      <c r="N396" s="2" t="str">
        <f>INDEX(Departments!$B$1:$B$6, MATCH(Employees!F396, Departments!$A$1:$A$6, 0))</f>
        <v>Finance</v>
      </c>
      <c r="O396" s="3" t="str">
        <f>INDEX(Departments!$B$2:$B$6,MATCH(Employees!F396,Departments!$A$2:$A$6,0))</f>
        <v>Finance</v>
      </c>
      <c r="P396" s="3">
        <f>INDEX(Performance!$C$2:$C$501,MATCH(Employees!A396,Performance!$A$2:$A$501,0))</f>
        <v>2</v>
      </c>
      <c r="Q396" s="4">
        <f t="shared" si="6"/>
        <v>4128.3</v>
      </c>
    </row>
    <row r="397" spans="1:17" hidden="1" x14ac:dyDescent="0.25">
      <c r="A397" s="2" t="s">
        <v>1213</v>
      </c>
      <c r="B397" s="2" t="s">
        <v>36</v>
      </c>
      <c r="C397" s="2" t="s">
        <v>171</v>
      </c>
      <c r="D397" s="2" t="s">
        <v>20</v>
      </c>
      <c r="E397" s="2">
        <v>37</v>
      </c>
      <c r="F397" s="2" t="s">
        <v>56</v>
      </c>
      <c r="G397" s="2" t="s">
        <v>46</v>
      </c>
      <c r="H397" s="2" t="s">
        <v>1214</v>
      </c>
      <c r="I397" s="2">
        <v>90050</v>
      </c>
      <c r="J397" s="2" t="s">
        <v>71</v>
      </c>
      <c r="K397" s="2" t="s">
        <v>1215</v>
      </c>
      <c r="L397" s="2" t="s">
        <v>26</v>
      </c>
      <c r="M397" s="2" t="str">
        <f>VLOOKUP(F397,Departments!$A$1:$C$6,2,0)</f>
        <v>Finance</v>
      </c>
      <c r="N397" s="2" t="str">
        <f>INDEX(Departments!$B$1:$B$6, MATCH(Employees!F397, Departments!$A$1:$A$6, 0))</f>
        <v>Finance</v>
      </c>
      <c r="O397" s="3" t="str">
        <f>INDEX(Departments!$B$2:$B$6,MATCH(Employees!F397,Departments!$A$2:$A$6,0))</f>
        <v>Finance</v>
      </c>
      <c r="P397" s="3">
        <f>INDEX(Performance!$C$2:$C$501,MATCH(Employees!A397,Performance!$A$2:$A$501,0))</f>
        <v>5</v>
      </c>
      <c r="Q397" s="4">
        <f t="shared" si="6"/>
        <v>13507.5</v>
      </c>
    </row>
    <row r="398" spans="1:17" hidden="1" x14ac:dyDescent="0.25">
      <c r="A398" s="2" t="s">
        <v>1216</v>
      </c>
      <c r="B398" s="2" t="s">
        <v>44</v>
      </c>
      <c r="C398" s="2" t="s">
        <v>136</v>
      </c>
      <c r="D398" s="2" t="s">
        <v>29</v>
      </c>
      <c r="E398" s="2">
        <v>54</v>
      </c>
      <c r="F398" s="2" t="s">
        <v>21</v>
      </c>
      <c r="G398" s="2" t="s">
        <v>31</v>
      </c>
      <c r="H398" s="2" t="s">
        <v>1217</v>
      </c>
      <c r="I398" s="2">
        <v>56447</v>
      </c>
      <c r="J398" s="2" t="s">
        <v>24</v>
      </c>
      <c r="K398" s="2" t="s">
        <v>1218</v>
      </c>
      <c r="L398" s="2" t="s">
        <v>42</v>
      </c>
      <c r="M398" s="2" t="str">
        <f>VLOOKUP(F398,Departments!$A$1:$C$6,2,0)</f>
        <v>HR</v>
      </c>
      <c r="N398" s="2" t="str">
        <f>INDEX(Departments!$B$1:$B$6, MATCH(Employees!F398, Departments!$A$1:$A$6, 0))</f>
        <v>HR</v>
      </c>
      <c r="O398" s="3" t="str">
        <f>INDEX(Departments!$B$2:$B$6,MATCH(Employees!F398,Departments!$A$2:$A$6,0))</f>
        <v>HR</v>
      </c>
      <c r="P398" s="3">
        <f>INDEX(Performance!$C$2:$C$501,MATCH(Employees!A398,Performance!$A$2:$A$501,0))</f>
        <v>4</v>
      </c>
      <c r="Q398" s="4">
        <f t="shared" si="6"/>
        <v>5644.7000000000007</v>
      </c>
    </row>
    <row r="399" spans="1:17" hidden="1" x14ac:dyDescent="0.25">
      <c r="A399" s="2" t="s">
        <v>1219</v>
      </c>
      <c r="B399" s="2" t="s">
        <v>77</v>
      </c>
      <c r="C399" s="2" t="s">
        <v>171</v>
      </c>
      <c r="D399" s="2" t="s">
        <v>29</v>
      </c>
      <c r="E399" s="2">
        <v>47</v>
      </c>
      <c r="F399" s="2" t="s">
        <v>37</v>
      </c>
      <c r="G399" s="2" t="s">
        <v>22</v>
      </c>
      <c r="H399" s="2" t="s">
        <v>1220</v>
      </c>
      <c r="I399" s="2">
        <v>76082</v>
      </c>
      <c r="J399" s="2" t="s">
        <v>71</v>
      </c>
      <c r="K399" s="2" t="s">
        <v>1221</v>
      </c>
      <c r="L399" s="2" t="s">
        <v>42</v>
      </c>
      <c r="M399" s="2" t="str">
        <f>VLOOKUP(F399,Departments!$A$1:$C$6,2,0)</f>
        <v>Sales</v>
      </c>
      <c r="N399" s="2" t="str">
        <f>INDEX(Departments!$B$1:$B$6, MATCH(Employees!F399, Departments!$A$1:$A$6, 0))</f>
        <v>Sales</v>
      </c>
      <c r="O399" s="3" t="str">
        <f>INDEX(Departments!$B$2:$B$6,MATCH(Employees!F399,Departments!$A$2:$A$6,0))</f>
        <v>Sales</v>
      </c>
      <c r="P399" s="3">
        <f>INDEX(Performance!$C$2:$C$501,MATCH(Employees!A399,Performance!$A$2:$A$501,0))</f>
        <v>3</v>
      </c>
      <c r="Q399" s="4">
        <f t="shared" si="6"/>
        <v>5325.7400000000007</v>
      </c>
    </row>
    <row r="400" spans="1:17" hidden="1" x14ac:dyDescent="0.25">
      <c r="A400" s="2" t="s">
        <v>1222</v>
      </c>
      <c r="B400" s="2" t="s">
        <v>50</v>
      </c>
      <c r="C400" s="2" t="s">
        <v>51</v>
      </c>
      <c r="D400" s="2" t="s">
        <v>29</v>
      </c>
      <c r="E400" s="2">
        <v>28</v>
      </c>
      <c r="F400" s="2" t="s">
        <v>56</v>
      </c>
      <c r="G400" s="2" t="s">
        <v>31</v>
      </c>
      <c r="H400" s="2" t="s">
        <v>627</v>
      </c>
      <c r="I400" s="2">
        <v>98535</v>
      </c>
      <c r="J400" s="2" t="s">
        <v>66</v>
      </c>
      <c r="K400" s="2" t="s">
        <v>1223</v>
      </c>
      <c r="L400" s="2" t="s">
        <v>26</v>
      </c>
      <c r="M400" s="2" t="str">
        <f>VLOOKUP(F400,Departments!$A$1:$C$6,2,0)</f>
        <v>Finance</v>
      </c>
      <c r="N400" s="2" t="str">
        <f>INDEX(Departments!$B$1:$B$6, MATCH(Employees!F400, Departments!$A$1:$A$6, 0))</f>
        <v>Finance</v>
      </c>
      <c r="O400" s="3" t="str">
        <f>INDEX(Departments!$B$2:$B$6,MATCH(Employees!F400,Departments!$A$2:$A$6,0))</f>
        <v>Finance</v>
      </c>
      <c r="P400" s="3">
        <f>INDEX(Performance!$C$2:$C$501,MATCH(Employees!A400,Performance!$A$2:$A$501,0))</f>
        <v>1</v>
      </c>
      <c r="Q400" s="4">
        <f t="shared" si="6"/>
        <v>4926.75</v>
      </c>
    </row>
    <row r="401" spans="1:17" hidden="1" x14ac:dyDescent="0.25">
      <c r="A401" s="2" t="s">
        <v>1224</v>
      </c>
      <c r="B401" s="2" t="s">
        <v>100</v>
      </c>
      <c r="C401" s="2" t="s">
        <v>136</v>
      </c>
      <c r="D401" s="2" t="s">
        <v>20</v>
      </c>
      <c r="E401" s="2">
        <v>39</v>
      </c>
      <c r="F401" s="2" t="s">
        <v>21</v>
      </c>
      <c r="G401" s="2" t="s">
        <v>114</v>
      </c>
      <c r="H401" s="2" t="s">
        <v>1225</v>
      </c>
      <c r="I401" s="2">
        <v>44551</v>
      </c>
      <c r="J401" s="2" t="s">
        <v>40</v>
      </c>
      <c r="K401" s="2" t="s">
        <v>1226</v>
      </c>
      <c r="L401" s="2" t="s">
        <v>26</v>
      </c>
      <c r="M401" s="2" t="str">
        <f>VLOOKUP(F401,Departments!$A$1:$C$6,2,0)</f>
        <v>HR</v>
      </c>
      <c r="N401" s="2" t="str">
        <f>INDEX(Departments!$B$1:$B$6, MATCH(Employees!F401, Departments!$A$1:$A$6, 0))</f>
        <v>HR</v>
      </c>
      <c r="O401" s="3" t="str">
        <f>INDEX(Departments!$B$2:$B$6,MATCH(Employees!F401,Departments!$A$2:$A$6,0))</f>
        <v>HR</v>
      </c>
      <c r="P401" s="3">
        <f>INDEX(Performance!$C$2:$C$501,MATCH(Employees!A401,Performance!$A$2:$A$501,0))</f>
        <v>5</v>
      </c>
      <c r="Q401" s="4">
        <f t="shared" si="6"/>
        <v>6682.65</v>
      </c>
    </row>
    <row r="402" spans="1:17" hidden="1" x14ac:dyDescent="0.25">
      <c r="A402" s="2" t="s">
        <v>1227</v>
      </c>
      <c r="B402" s="2" t="s">
        <v>77</v>
      </c>
      <c r="C402" s="2" t="s">
        <v>28</v>
      </c>
      <c r="D402" s="2" t="s">
        <v>20</v>
      </c>
      <c r="E402" s="2">
        <v>40</v>
      </c>
      <c r="F402" s="2" t="s">
        <v>56</v>
      </c>
      <c r="G402" s="2" t="s">
        <v>38</v>
      </c>
      <c r="H402" s="2" t="s">
        <v>1228</v>
      </c>
      <c r="I402" s="2">
        <v>111797</v>
      </c>
      <c r="J402" s="2" t="s">
        <v>66</v>
      </c>
      <c r="K402" s="2" t="s">
        <v>1229</v>
      </c>
      <c r="L402" s="2" t="s">
        <v>42</v>
      </c>
      <c r="M402" s="2" t="str">
        <f>VLOOKUP(F402,Departments!$A$1:$C$6,2,0)</f>
        <v>Finance</v>
      </c>
      <c r="N402" s="2" t="str">
        <f>INDEX(Departments!$B$1:$B$6, MATCH(Employees!F402, Departments!$A$1:$A$6, 0))</f>
        <v>Finance</v>
      </c>
      <c r="O402" s="3" t="str">
        <f>INDEX(Departments!$B$2:$B$6,MATCH(Employees!F402,Departments!$A$2:$A$6,0))</f>
        <v>Finance</v>
      </c>
      <c r="P402" s="3">
        <f>INDEX(Performance!$C$2:$C$501,MATCH(Employees!A402,Performance!$A$2:$A$501,0))</f>
        <v>5</v>
      </c>
      <c r="Q402" s="4">
        <f t="shared" si="6"/>
        <v>16769.55</v>
      </c>
    </row>
    <row r="403" spans="1:17" hidden="1" x14ac:dyDescent="0.25">
      <c r="A403" s="2" t="s">
        <v>1230</v>
      </c>
      <c r="B403" s="2" t="s">
        <v>77</v>
      </c>
      <c r="C403" s="2" t="s">
        <v>96</v>
      </c>
      <c r="D403" s="2" t="s">
        <v>29</v>
      </c>
      <c r="E403" s="2">
        <v>43</v>
      </c>
      <c r="F403" s="2" t="s">
        <v>21</v>
      </c>
      <c r="G403" s="2" t="s">
        <v>31</v>
      </c>
      <c r="H403" s="2" t="s">
        <v>1231</v>
      </c>
      <c r="I403" s="2">
        <v>40238</v>
      </c>
      <c r="J403" s="2" t="s">
        <v>24</v>
      </c>
      <c r="K403" s="2" t="s">
        <v>1232</v>
      </c>
      <c r="L403" s="2" t="s">
        <v>26</v>
      </c>
      <c r="M403" s="2" t="str">
        <f>VLOOKUP(F403,Departments!$A$1:$C$6,2,0)</f>
        <v>HR</v>
      </c>
      <c r="N403" s="2" t="str">
        <f>INDEX(Departments!$B$1:$B$6, MATCH(Employees!F403, Departments!$A$1:$A$6, 0))</f>
        <v>HR</v>
      </c>
      <c r="O403" s="3" t="str">
        <f>INDEX(Departments!$B$2:$B$6,MATCH(Employees!F403,Departments!$A$2:$A$6,0))</f>
        <v>HR</v>
      </c>
      <c r="P403" s="3">
        <f>INDEX(Performance!$C$2:$C$501,MATCH(Employees!A403,Performance!$A$2:$A$501,0))</f>
        <v>2</v>
      </c>
      <c r="Q403" s="4">
        <f t="shared" si="6"/>
        <v>2011.9</v>
      </c>
    </row>
    <row r="404" spans="1:17" hidden="1" x14ac:dyDescent="0.25">
      <c r="A404" s="2" t="s">
        <v>1233</v>
      </c>
      <c r="B404" s="2" t="s">
        <v>77</v>
      </c>
      <c r="C404" s="2" t="s">
        <v>171</v>
      </c>
      <c r="D404" s="2" t="s">
        <v>20</v>
      </c>
      <c r="E404" s="2">
        <v>55</v>
      </c>
      <c r="F404" s="2" t="s">
        <v>37</v>
      </c>
      <c r="G404" s="2" t="s">
        <v>22</v>
      </c>
      <c r="H404" s="2" t="s">
        <v>1234</v>
      </c>
      <c r="I404" s="2">
        <v>70077</v>
      </c>
      <c r="J404" s="2" t="s">
        <v>40</v>
      </c>
      <c r="K404" s="2" t="s">
        <v>1235</v>
      </c>
      <c r="L404" s="2" t="s">
        <v>26</v>
      </c>
      <c r="M404" s="2" t="str">
        <f>VLOOKUP(F404,Departments!$A$1:$C$6,2,0)</f>
        <v>Sales</v>
      </c>
      <c r="N404" s="2" t="str">
        <f>INDEX(Departments!$B$1:$B$6, MATCH(Employees!F404, Departments!$A$1:$A$6, 0))</f>
        <v>Sales</v>
      </c>
      <c r="O404" s="3" t="str">
        <f>INDEX(Departments!$B$2:$B$6,MATCH(Employees!F404,Departments!$A$2:$A$6,0))</f>
        <v>Sales</v>
      </c>
      <c r="P404" s="3">
        <f>INDEX(Performance!$C$2:$C$501,MATCH(Employees!A404,Performance!$A$2:$A$501,0))</f>
        <v>1</v>
      </c>
      <c r="Q404" s="4">
        <f t="shared" si="6"/>
        <v>3503.8500000000004</v>
      </c>
    </row>
    <row r="405" spans="1:17" x14ac:dyDescent="0.25">
      <c r="A405" s="2" t="s">
        <v>1236</v>
      </c>
      <c r="B405" s="2" t="s">
        <v>50</v>
      </c>
      <c r="C405" s="2" t="s">
        <v>19</v>
      </c>
      <c r="D405" s="2" t="s">
        <v>29</v>
      </c>
      <c r="E405" s="2">
        <v>57</v>
      </c>
      <c r="F405" s="2" t="s">
        <v>21</v>
      </c>
      <c r="G405" s="2" t="s">
        <v>22</v>
      </c>
      <c r="H405" s="2" t="s">
        <v>1237</v>
      </c>
      <c r="I405" s="2">
        <v>107382</v>
      </c>
      <c r="J405" s="2" t="s">
        <v>24</v>
      </c>
      <c r="K405" s="2" t="s">
        <v>1238</v>
      </c>
      <c r="L405" s="2" t="s">
        <v>42</v>
      </c>
      <c r="M405" s="2" t="str">
        <f>VLOOKUP(F405,Departments!$A$1:$C$6,2,0)</f>
        <v>HR</v>
      </c>
      <c r="N405" s="2" t="str">
        <f>INDEX(Departments!$B$1:$B$6, MATCH(Employees!F405, Departments!$A$1:$A$6, 0))</f>
        <v>HR</v>
      </c>
      <c r="O405" s="6" t="str">
        <f>INDEX(Departments!$B$2:$B$6,MATCH(Employees!F405,Departments!$A$2:$A$6,0))</f>
        <v>HR</v>
      </c>
      <c r="P405" s="6">
        <f>_xlfn.XLOOKUP(A405,Performance!$A$2:$A$501,Performance!$C$2:$C$501)</f>
        <v>2</v>
      </c>
      <c r="Q405" s="7">
        <f t="shared" si="6"/>
        <v>5369.1</v>
      </c>
    </row>
    <row r="406" spans="1:17" hidden="1" x14ac:dyDescent="0.25">
      <c r="A406" s="2" t="s">
        <v>1239</v>
      </c>
      <c r="B406" s="2" t="s">
        <v>100</v>
      </c>
      <c r="C406" s="2" t="s">
        <v>101</v>
      </c>
      <c r="D406" s="2" t="s">
        <v>20</v>
      </c>
      <c r="E406" s="2">
        <v>24</v>
      </c>
      <c r="F406" s="2" t="s">
        <v>56</v>
      </c>
      <c r="G406" s="2" t="s">
        <v>31</v>
      </c>
      <c r="H406" s="2" t="s">
        <v>1240</v>
      </c>
      <c r="I406" s="2">
        <v>54413</v>
      </c>
      <c r="J406" s="2" t="s">
        <v>71</v>
      </c>
      <c r="K406" s="2" t="s">
        <v>1241</v>
      </c>
      <c r="L406" s="2" t="s">
        <v>26</v>
      </c>
      <c r="M406" s="2" t="str">
        <f>VLOOKUP(F406,Departments!$A$1:$C$6,2,0)</f>
        <v>Finance</v>
      </c>
      <c r="N406" s="2" t="str">
        <f>INDEX(Departments!$B$1:$B$6, MATCH(Employees!F406, Departments!$A$1:$A$6, 0))</f>
        <v>Finance</v>
      </c>
      <c r="O406" s="3" t="str">
        <f>INDEX(Departments!$B$2:$B$6,MATCH(Employees!F406,Departments!$A$2:$A$6,0))</f>
        <v>Finance</v>
      </c>
      <c r="P406" s="3">
        <f>INDEX(Performance!$C$2:$C$501,MATCH(Employees!A406,Performance!$A$2:$A$501,0))</f>
        <v>4</v>
      </c>
      <c r="Q406" s="4">
        <f t="shared" si="6"/>
        <v>5441.3</v>
      </c>
    </row>
    <row r="407" spans="1:17" hidden="1" x14ac:dyDescent="0.25">
      <c r="A407" s="2" t="s">
        <v>1242</v>
      </c>
      <c r="B407" s="2" t="s">
        <v>149</v>
      </c>
      <c r="C407" s="2" t="s">
        <v>28</v>
      </c>
      <c r="D407" s="2" t="s">
        <v>29</v>
      </c>
      <c r="E407" s="2">
        <v>37</v>
      </c>
      <c r="F407" s="2" t="s">
        <v>37</v>
      </c>
      <c r="G407" s="2" t="s">
        <v>114</v>
      </c>
      <c r="H407" s="2" t="s">
        <v>1243</v>
      </c>
      <c r="I407" s="2">
        <v>40061</v>
      </c>
      <c r="J407" s="2" t="s">
        <v>71</v>
      </c>
      <c r="K407" s="2" t="s">
        <v>1244</v>
      </c>
      <c r="L407" s="2" t="s">
        <v>26</v>
      </c>
      <c r="M407" s="2" t="str">
        <f>VLOOKUP(F407,Departments!$A$1:$C$6,2,0)</f>
        <v>Sales</v>
      </c>
      <c r="N407" s="2" t="str">
        <f>INDEX(Departments!$B$1:$B$6, MATCH(Employees!F407, Departments!$A$1:$A$6, 0))</f>
        <v>Sales</v>
      </c>
      <c r="O407" s="3" t="str">
        <f>INDEX(Departments!$B$2:$B$6,MATCH(Employees!F407,Departments!$A$2:$A$6,0))</f>
        <v>Sales</v>
      </c>
      <c r="P407" s="3">
        <f>INDEX(Performance!$C$2:$C$501,MATCH(Employees!A407,Performance!$A$2:$A$501,0))</f>
        <v>3</v>
      </c>
      <c r="Q407" s="4">
        <f t="shared" si="6"/>
        <v>2804.2700000000004</v>
      </c>
    </row>
    <row r="408" spans="1:17" hidden="1" x14ac:dyDescent="0.25">
      <c r="A408" s="2" t="s">
        <v>1245</v>
      </c>
      <c r="B408" s="2" t="s">
        <v>36</v>
      </c>
      <c r="C408" s="2" t="s">
        <v>101</v>
      </c>
      <c r="D408" s="2" t="s">
        <v>29</v>
      </c>
      <c r="E408" s="2">
        <v>45</v>
      </c>
      <c r="F408" s="2" t="s">
        <v>45</v>
      </c>
      <c r="G408" s="2" t="s">
        <v>114</v>
      </c>
      <c r="H408" s="2" t="s">
        <v>1246</v>
      </c>
      <c r="I408" s="2">
        <v>89039</v>
      </c>
      <c r="J408" s="2" t="s">
        <v>40</v>
      </c>
      <c r="K408" s="2" t="s">
        <v>1247</v>
      </c>
      <c r="L408" s="2" t="s">
        <v>26</v>
      </c>
      <c r="M408" s="2" t="str">
        <f>VLOOKUP(F408,Departments!$A$1:$C$6,2,0)</f>
        <v>Marketing</v>
      </c>
      <c r="N408" s="2" t="str">
        <f>INDEX(Departments!$B$1:$B$6, MATCH(Employees!F408, Departments!$A$1:$A$6, 0))</f>
        <v>Marketing</v>
      </c>
      <c r="O408" s="3" t="str">
        <f>INDEX(Departments!$B$2:$B$6,MATCH(Employees!F408,Departments!$A$2:$A$6,0))</f>
        <v>Marketing</v>
      </c>
      <c r="P408" s="3">
        <f>INDEX(Performance!$C$2:$C$501,MATCH(Employees!A408,Performance!$A$2:$A$501,0))</f>
        <v>3</v>
      </c>
      <c r="Q408" s="4">
        <f t="shared" si="6"/>
        <v>6232.7300000000005</v>
      </c>
    </row>
    <row r="409" spans="1:17" hidden="1" x14ac:dyDescent="0.25">
      <c r="A409" s="2" t="s">
        <v>1248</v>
      </c>
      <c r="B409" s="2" t="s">
        <v>77</v>
      </c>
      <c r="C409" s="2" t="s">
        <v>69</v>
      </c>
      <c r="D409" s="2" t="s">
        <v>20</v>
      </c>
      <c r="E409" s="2">
        <v>30</v>
      </c>
      <c r="F409" s="2" t="s">
        <v>45</v>
      </c>
      <c r="G409" s="2" t="s">
        <v>46</v>
      </c>
      <c r="H409" s="2" t="s">
        <v>1249</v>
      </c>
      <c r="I409" s="2">
        <v>41334</v>
      </c>
      <c r="J409" s="2" t="s">
        <v>40</v>
      </c>
      <c r="K409" s="2" t="s">
        <v>1250</v>
      </c>
      <c r="L409" s="2" t="s">
        <v>26</v>
      </c>
      <c r="M409" s="2" t="str">
        <f>VLOOKUP(F409,Departments!$A$1:$C$6,2,0)</f>
        <v>Marketing</v>
      </c>
      <c r="N409" s="2" t="str">
        <f>INDEX(Departments!$B$1:$B$6, MATCH(Employees!F409, Departments!$A$1:$A$6, 0))</f>
        <v>Marketing</v>
      </c>
      <c r="O409" s="3" t="str">
        <f>INDEX(Departments!$B$2:$B$6,MATCH(Employees!F409,Departments!$A$2:$A$6,0))</f>
        <v>Marketing</v>
      </c>
      <c r="P409" s="3">
        <f>INDEX(Performance!$C$2:$C$501,MATCH(Employees!A409,Performance!$A$2:$A$501,0))</f>
        <v>5</v>
      </c>
      <c r="Q409" s="4">
        <f t="shared" si="6"/>
        <v>6200.0999999999995</v>
      </c>
    </row>
    <row r="410" spans="1:17" hidden="1" x14ac:dyDescent="0.25">
      <c r="A410" s="2" t="s">
        <v>1251</v>
      </c>
      <c r="B410" s="2" t="s">
        <v>55</v>
      </c>
      <c r="C410" s="2" t="s">
        <v>171</v>
      </c>
      <c r="D410" s="2" t="s">
        <v>20</v>
      </c>
      <c r="E410" s="2">
        <v>55</v>
      </c>
      <c r="F410" s="2" t="s">
        <v>30</v>
      </c>
      <c r="G410" s="2" t="s">
        <v>22</v>
      </c>
      <c r="H410" s="2" t="s">
        <v>1252</v>
      </c>
      <c r="I410" s="2">
        <v>108930</v>
      </c>
      <c r="J410" s="2" t="s">
        <v>66</v>
      </c>
      <c r="K410" s="2" t="s">
        <v>1253</v>
      </c>
      <c r="L410" s="2" t="s">
        <v>42</v>
      </c>
      <c r="M410" s="2" t="str">
        <f>VLOOKUP(F410,Departments!$A$1:$C$6,2,0)</f>
        <v>IT</v>
      </c>
      <c r="N410" s="2" t="str">
        <f>INDEX(Departments!$B$1:$B$6, MATCH(Employees!F410, Departments!$A$1:$A$6, 0))</f>
        <v>IT</v>
      </c>
      <c r="O410" s="3" t="str">
        <f>INDEX(Departments!$B$2:$B$6,MATCH(Employees!F410,Departments!$A$2:$A$6,0))</f>
        <v>IT</v>
      </c>
      <c r="P410" s="3">
        <f>INDEX(Performance!$C$2:$C$501,MATCH(Employees!A410,Performance!$A$2:$A$501,0))</f>
        <v>1</v>
      </c>
      <c r="Q410" s="4">
        <f t="shared" si="6"/>
        <v>5446.5</v>
      </c>
    </row>
    <row r="411" spans="1:17" hidden="1" x14ac:dyDescent="0.25">
      <c r="A411" s="2" t="s">
        <v>1254</v>
      </c>
      <c r="B411" s="2" t="s">
        <v>77</v>
      </c>
      <c r="C411" s="2" t="s">
        <v>96</v>
      </c>
      <c r="D411" s="2" t="s">
        <v>20</v>
      </c>
      <c r="E411" s="2">
        <v>31</v>
      </c>
      <c r="F411" s="2" t="s">
        <v>56</v>
      </c>
      <c r="G411" s="2" t="s">
        <v>31</v>
      </c>
      <c r="H411" s="2" t="s">
        <v>1255</v>
      </c>
      <c r="I411" s="2">
        <v>78935</v>
      </c>
      <c r="J411" s="2" t="s">
        <v>24</v>
      </c>
      <c r="K411" s="2" t="s">
        <v>1256</v>
      </c>
      <c r="L411" s="2" t="s">
        <v>42</v>
      </c>
      <c r="M411" s="2" t="str">
        <f>VLOOKUP(F411,Departments!$A$1:$C$6,2,0)</f>
        <v>Finance</v>
      </c>
      <c r="N411" s="2" t="str">
        <f>INDEX(Departments!$B$1:$B$6, MATCH(Employees!F411, Departments!$A$1:$A$6, 0))</f>
        <v>Finance</v>
      </c>
      <c r="O411" s="3" t="str">
        <f>INDEX(Departments!$B$2:$B$6,MATCH(Employees!F411,Departments!$A$2:$A$6,0))</f>
        <v>Finance</v>
      </c>
      <c r="P411" s="3">
        <f>INDEX(Performance!$C$2:$C$501,MATCH(Employees!A411,Performance!$A$2:$A$501,0))</f>
        <v>5</v>
      </c>
      <c r="Q411" s="4">
        <f t="shared" si="6"/>
        <v>11840.25</v>
      </c>
    </row>
    <row r="412" spans="1:17" hidden="1" x14ac:dyDescent="0.25">
      <c r="A412" s="2" t="s">
        <v>1257</v>
      </c>
      <c r="B412" s="2" t="s">
        <v>44</v>
      </c>
      <c r="C412" s="2" t="s">
        <v>84</v>
      </c>
      <c r="D412" s="2" t="s">
        <v>29</v>
      </c>
      <c r="E412" s="2">
        <v>34</v>
      </c>
      <c r="F412" s="2" t="s">
        <v>56</v>
      </c>
      <c r="G412" s="2" t="s">
        <v>46</v>
      </c>
      <c r="H412" s="2" t="s">
        <v>1258</v>
      </c>
      <c r="I412" s="2">
        <v>68187</v>
      </c>
      <c r="J412" s="2" t="s">
        <v>24</v>
      </c>
      <c r="K412" s="2" t="s">
        <v>1259</v>
      </c>
      <c r="L412" s="2" t="s">
        <v>26</v>
      </c>
      <c r="M412" s="2" t="str">
        <f>VLOOKUP(F412,Departments!$A$1:$C$6,2,0)</f>
        <v>Finance</v>
      </c>
      <c r="N412" s="2" t="str">
        <f>INDEX(Departments!$B$1:$B$6, MATCH(Employees!F412, Departments!$A$1:$A$6, 0))</f>
        <v>Finance</v>
      </c>
      <c r="O412" s="3" t="str">
        <f>INDEX(Departments!$B$2:$B$6,MATCH(Employees!F412,Departments!$A$2:$A$6,0))</f>
        <v>Finance</v>
      </c>
      <c r="P412" s="3">
        <f>INDEX(Performance!$C$2:$C$501,MATCH(Employees!A412,Performance!$A$2:$A$501,0))</f>
        <v>1</v>
      </c>
      <c r="Q412" s="4">
        <f t="shared" si="6"/>
        <v>3409.3500000000004</v>
      </c>
    </row>
    <row r="413" spans="1:17" hidden="1" x14ac:dyDescent="0.25">
      <c r="A413" s="2" t="s">
        <v>1260</v>
      </c>
      <c r="B413" s="2" t="s">
        <v>18</v>
      </c>
      <c r="C413" s="2" t="s">
        <v>51</v>
      </c>
      <c r="D413" s="2" t="s">
        <v>20</v>
      </c>
      <c r="E413" s="2">
        <v>51</v>
      </c>
      <c r="F413" s="2" t="s">
        <v>30</v>
      </c>
      <c r="G413" s="2" t="s">
        <v>31</v>
      </c>
      <c r="H413" s="2" t="s">
        <v>1261</v>
      </c>
      <c r="I413" s="2">
        <v>56816</v>
      </c>
      <c r="J413" s="2" t="s">
        <v>71</v>
      </c>
      <c r="K413" s="2" t="s">
        <v>1262</v>
      </c>
      <c r="L413" s="2" t="s">
        <v>26</v>
      </c>
      <c r="M413" s="2" t="str">
        <f>VLOOKUP(F413,Departments!$A$1:$C$6,2,0)</f>
        <v>IT</v>
      </c>
      <c r="N413" s="2" t="str">
        <f>INDEX(Departments!$B$1:$B$6, MATCH(Employees!F413, Departments!$A$1:$A$6, 0))</f>
        <v>IT</v>
      </c>
      <c r="O413" s="3" t="str">
        <f>INDEX(Departments!$B$2:$B$6,MATCH(Employees!F413,Departments!$A$2:$A$6,0))</f>
        <v>IT</v>
      </c>
      <c r="P413" s="3">
        <f>INDEX(Performance!$C$2:$C$501,MATCH(Employees!A413,Performance!$A$2:$A$501,0))</f>
        <v>3</v>
      </c>
      <c r="Q413" s="4">
        <f t="shared" si="6"/>
        <v>3977.1200000000003</v>
      </c>
    </row>
    <row r="414" spans="1:17" x14ac:dyDescent="0.25">
      <c r="A414" s="2" t="s">
        <v>1263</v>
      </c>
      <c r="B414" s="2" t="s">
        <v>64</v>
      </c>
      <c r="C414" s="2" t="s">
        <v>19</v>
      </c>
      <c r="D414" s="2" t="s">
        <v>20</v>
      </c>
      <c r="E414" s="2">
        <v>29</v>
      </c>
      <c r="F414" s="2" t="s">
        <v>30</v>
      </c>
      <c r="G414" s="2" t="s">
        <v>22</v>
      </c>
      <c r="H414" s="2" t="s">
        <v>1264</v>
      </c>
      <c r="I414" s="2">
        <v>102232</v>
      </c>
      <c r="J414" s="2" t="s">
        <v>24</v>
      </c>
      <c r="K414" s="2" t="s">
        <v>1265</v>
      </c>
      <c r="L414" s="2" t="s">
        <v>26</v>
      </c>
      <c r="M414" s="2" t="str">
        <f>VLOOKUP(F414,Departments!$A$1:$C$6,2,0)</f>
        <v>IT</v>
      </c>
      <c r="N414" s="2" t="str">
        <f>INDEX(Departments!$B$1:$B$6, MATCH(Employees!F414, Departments!$A$1:$A$6, 0))</f>
        <v>IT</v>
      </c>
      <c r="O414" s="6" t="str">
        <f>INDEX(Departments!$B$2:$B$6,MATCH(Employees!F414,Departments!$A$2:$A$6,0))</f>
        <v>IT</v>
      </c>
      <c r="P414" s="6">
        <f>_xlfn.XLOOKUP(A414,Performance!$A$2:$A$501,Performance!$C$2:$C$501)</f>
        <v>4</v>
      </c>
      <c r="Q414" s="7">
        <f t="shared" si="6"/>
        <v>10223.200000000001</v>
      </c>
    </row>
    <row r="415" spans="1:17" hidden="1" x14ac:dyDescent="0.25">
      <c r="A415" s="2" t="s">
        <v>1266</v>
      </c>
      <c r="B415" s="2" t="s">
        <v>64</v>
      </c>
      <c r="C415" s="2" t="s">
        <v>51</v>
      </c>
      <c r="D415" s="2" t="s">
        <v>29</v>
      </c>
      <c r="E415" s="2">
        <v>38</v>
      </c>
      <c r="F415" s="2" t="s">
        <v>56</v>
      </c>
      <c r="G415" s="2" t="s">
        <v>114</v>
      </c>
      <c r="H415" s="2" t="s">
        <v>1267</v>
      </c>
      <c r="I415" s="2">
        <v>99123</v>
      </c>
      <c r="J415" s="2" t="s">
        <v>24</v>
      </c>
      <c r="K415" s="2" t="s">
        <v>1268</v>
      </c>
      <c r="L415" s="2" t="s">
        <v>42</v>
      </c>
      <c r="M415" s="2" t="str">
        <f>VLOOKUP(F415,Departments!$A$1:$C$6,2,0)</f>
        <v>Finance</v>
      </c>
      <c r="N415" s="2" t="str">
        <f>INDEX(Departments!$B$1:$B$6, MATCH(Employees!F415, Departments!$A$1:$A$6, 0))</f>
        <v>Finance</v>
      </c>
      <c r="O415" s="3" t="str">
        <f>INDEX(Departments!$B$2:$B$6,MATCH(Employees!F415,Departments!$A$2:$A$6,0))</f>
        <v>Finance</v>
      </c>
      <c r="P415" s="3">
        <f>INDEX(Performance!$C$2:$C$501,MATCH(Employees!A415,Performance!$A$2:$A$501,0))</f>
        <v>3</v>
      </c>
      <c r="Q415" s="4">
        <f t="shared" si="6"/>
        <v>6938.6100000000006</v>
      </c>
    </row>
    <row r="416" spans="1:17" hidden="1" x14ac:dyDescent="0.25">
      <c r="A416" s="2" t="s">
        <v>1269</v>
      </c>
      <c r="B416" s="2" t="s">
        <v>60</v>
      </c>
      <c r="C416" s="2" t="s">
        <v>19</v>
      </c>
      <c r="D416" s="2" t="s">
        <v>20</v>
      </c>
      <c r="E416" s="2">
        <v>23</v>
      </c>
      <c r="F416" s="2" t="s">
        <v>45</v>
      </c>
      <c r="G416" s="2" t="s">
        <v>38</v>
      </c>
      <c r="H416" s="2" t="s">
        <v>1270</v>
      </c>
      <c r="I416" s="2">
        <v>44686</v>
      </c>
      <c r="J416" s="2" t="s">
        <v>66</v>
      </c>
      <c r="K416" s="2" t="s">
        <v>1271</v>
      </c>
      <c r="L416" s="2" t="s">
        <v>26</v>
      </c>
      <c r="M416" s="2" t="str">
        <f>VLOOKUP(F416,Departments!$A$1:$C$6,2,0)</f>
        <v>Marketing</v>
      </c>
      <c r="N416" s="2" t="str">
        <f>INDEX(Departments!$B$1:$B$6, MATCH(Employees!F416, Departments!$A$1:$A$6, 0))</f>
        <v>Marketing</v>
      </c>
      <c r="O416" s="3" t="str">
        <f>INDEX(Departments!$B$2:$B$6,MATCH(Employees!F416,Departments!$A$2:$A$6,0))</f>
        <v>Marketing</v>
      </c>
      <c r="P416" s="3">
        <f>INDEX(Performance!$C$2:$C$501,MATCH(Employees!A416,Performance!$A$2:$A$501,0))</f>
        <v>1</v>
      </c>
      <c r="Q416" s="4">
        <f t="shared" si="6"/>
        <v>2234.3000000000002</v>
      </c>
    </row>
    <row r="417" spans="1:17" hidden="1" x14ac:dyDescent="0.25">
      <c r="A417" s="2" t="s">
        <v>1272</v>
      </c>
      <c r="B417" s="2" t="s">
        <v>60</v>
      </c>
      <c r="C417" s="2" t="s">
        <v>171</v>
      </c>
      <c r="D417" s="2" t="s">
        <v>29</v>
      </c>
      <c r="E417" s="2">
        <v>57</v>
      </c>
      <c r="F417" s="2" t="s">
        <v>37</v>
      </c>
      <c r="G417" s="2" t="s">
        <v>31</v>
      </c>
      <c r="H417" s="2" t="s">
        <v>1273</v>
      </c>
      <c r="I417" s="2">
        <v>104342</v>
      </c>
      <c r="J417" s="2" t="s">
        <v>86</v>
      </c>
      <c r="K417" s="2" t="s">
        <v>1274</v>
      </c>
      <c r="L417" s="2" t="s">
        <v>42</v>
      </c>
      <c r="M417" s="2" t="str">
        <f>VLOOKUP(F417,Departments!$A$1:$C$6,2,0)</f>
        <v>Sales</v>
      </c>
      <c r="N417" s="2" t="str">
        <f>INDEX(Departments!$B$1:$B$6, MATCH(Employees!F417, Departments!$A$1:$A$6, 0))</f>
        <v>Sales</v>
      </c>
      <c r="O417" s="3" t="str">
        <f>INDEX(Departments!$B$2:$B$6,MATCH(Employees!F417,Departments!$A$2:$A$6,0))</f>
        <v>Sales</v>
      </c>
      <c r="P417" s="3">
        <f>INDEX(Performance!$C$2:$C$501,MATCH(Employees!A417,Performance!$A$2:$A$501,0))</f>
        <v>2</v>
      </c>
      <c r="Q417" s="4">
        <f t="shared" si="6"/>
        <v>5217.1000000000004</v>
      </c>
    </row>
    <row r="418" spans="1:17" hidden="1" x14ac:dyDescent="0.25">
      <c r="A418" s="2" t="s">
        <v>1275</v>
      </c>
      <c r="B418" s="2" t="s">
        <v>36</v>
      </c>
      <c r="C418" s="2" t="s">
        <v>89</v>
      </c>
      <c r="D418" s="2" t="s">
        <v>29</v>
      </c>
      <c r="E418" s="2">
        <v>40</v>
      </c>
      <c r="F418" s="2" t="s">
        <v>21</v>
      </c>
      <c r="G418" s="2" t="s">
        <v>31</v>
      </c>
      <c r="H418" s="2" t="s">
        <v>1276</v>
      </c>
      <c r="I418" s="2">
        <v>116236</v>
      </c>
      <c r="J418" s="2" t="s">
        <v>71</v>
      </c>
      <c r="K418" s="2" t="s">
        <v>1277</v>
      </c>
      <c r="L418" s="2" t="s">
        <v>42</v>
      </c>
      <c r="M418" s="2" t="str">
        <f>VLOOKUP(F418,Departments!$A$1:$C$6,2,0)</f>
        <v>HR</v>
      </c>
      <c r="N418" s="2" t="str">
        <f>INDEX(Departments!$B$1:$B$6, MATCH(Employees!F418, Departments!$A$1:$A$6, 0))</f>
        <v>HR</v>
      </c>
      <c r="O418" s="3" t="str">
        <f>INDEX(Departments!$B$2:$B$6,MATCH(Employees!F418,Departments!$A$2:$A$6,0))</f>
        <v>HR</v>
      </c>
      <c r="P418" s="3">
        <f>INDEX(Performance!$C$2:$C$501,MATCH(Employees!A418,Performance!$A$2:$A$501,0))</f>
        <v>1</v>
      </c>
      <c r="Q418" s="4">
        <f t="shared" si="6"/>
        <v>5811.8</v>
      </c>
    </row>
    <row r="419" spans="1:17" hidden="1" x14ac:dyDescent="0.25">
      <c r="A419" s="2" t="s">
        <v>1278</v>
      </c>
      <c r="B419" s="2" t="s">
        <v>50</v>
      </c>
      <c r="C419" s="2" t="s">
        <v>89</v>
      </c>
      <c r="D419" s="2" t="s">
        <v>29</v>
      </c>
      <c r="E419" s="2">
        <v>33</v>
      </c>
      <c r="F419" s="2" t="s">
        <v>45</v>
      </c>
      <c r="G419" s="2" t="s">
        <v>38</v>
      </c>
      <c r="H419" s="2" t="s">
        <v>1279</v>
      </c>
      <c r="I419" s="2">
        <v>63416</v>
      </c>
      <c r="J419" s="2" t="s">
        <v>24</v>
      </c>
      <c r="K419" s="2" t="s">
        <v>1280</v>
      </c>
      <c r="L419" s="2" t="s">
        <v>42</v>
      </c>
      <c r="M419" s="2" t="str">
        <f>VLOOKUP(F419,Departments!$A$1:$C$6,2,0)</f>
        <v>Marketing</v>
      </c>
      <c r="N419" s="2" t="str">
        <f>INDEX(Departments!$B$1:$B$6, MATCH(Employees!F419, Departments!$A$1:$A$6, 0))</f>
        <v>Marketing</v>
      </c>
      <c r="O419" s="3" t="str">
        <f>INDEX(Departments!$B$2:$B$6,MATCH(Employees!F419,Departments!$A$2:$A$6,0))</f>
        <v>Marketing</v>
      </c>
      <c r="P419" s="3">
        <f>INDEX(Performance!$C$2:$C$501,MATCH(Employees!A419,Performance!$A$2:$A$501,0))</f>
        <v>3</v>
      </c>
      <c r="Q419" s="4">
        <f t="shared" si="6"/>
        <v>4439.1200000000008</v>
      </c>
    </row>
    <row r="420" spans="1:17" hidden="1" x14ac:dyDescent="0.25">
      <c r="A420" s="2" t="s">
        <v>1281</v>
      </c>
      <c r="B420" s="2" t="s">
        <v>100</v>
      </c>
      <c r="C420" s="2" t="s">
        <v>84</v>
      </c>
      <c r="D420" s="2" t="s">
        <v>20</v>
      </c>
      <c r="E420" s="2">
        <v>46</v>
      </c>
      <c r="F420" s="2" t="s">
        <v>30</v>
      </c>
      <c r="G420" s="2" t="s">
        <v>46</v>
      </c>
      <c r="H420" s="2" t="s">
        <v>1282</v>
      </c>
      <c r="I420" s="2">
        <v>48319</v>
      </c>
      <c r="J420" s="2" t="s">
        <v>86</v>
      </c>
      <c r="K420" s="2" t="s">
        <v>1283</v>
      </c>
      <c r="L420" s="2" t="s">
        <v>26</v>
      </c>
      <c r="M420" s="2" t="str">
        <f>VLOOKUP(F420,Departments!$A$1:$C$6,2,0)</f>
        <v>IT</v>
      </c>
      <c r="N420" s="2" t="str">
        <f>INDEX(Departments!$B$1:$B$6, MATCH(Employees!F420, Departments!$A$1:$A$6, 0))</f>
        <v>IT</v>
      </c>
      <c r="O420" s="3" t="str">
        <f>INDEX(Departments!$B$2:$B$6,MATCH(Employees!F420,Departments!$A$2:$A$6,0))</f>
        <v>IT</v>
      </c>
      <c r="P420" s="3">
        <f>INDEX(Performance!$C$2:$C$501,MATCH(Employees!A420,Performance!$A$2:$A$501,0))</f>
        <v>3</v>
      </c>
      <c r="Q420" s="4">
        <f t="shared" si="6"/>
        <v>3382.3300000000004</v>
      </c>
    </row>
    <row r="421" spans="1:17" x14ac:dyDescent="0.25">
      <c r="A421" s="2" t="s">
        <v>1284</v>
      </c>
      <c r="B421" s="2" t="s">
        <v>18</v>
      </c>
      <c r="C421" s="2" t="s">
        <v>136</v>
      </c>
      <c r="D421" s="2" t="s">
        <v>20</v>
      </c>
      <c r="E421" s="2">
        <v>36</v>
      </c>
      <c r="F421" s="2" t="s">
        <v>45</v>
      </c>
      <c r="G421" s="2" t="s">
        <v>22</v>
      </c>
      <c r="H421" s="2" t="s">
        <v>1285</v>
      </c>
      <c r="I421" s="2">
        <v>82168</v>
      </c>
      <c r="J421" s="2" t="s">
        <v>24</v>
      </c>
      <c r="K421" s="2" t="s">
        <v>1286</v>
      </c>
      <c r="L421" s="2" t="s">
        <v>26</v>
      </c>
      <c r="M421" s="2" t="str">
        <f>VLOOKUP(F421,Departments!$A$1:$C$6,2,0)</f>
        <v>Marketing</v>
      </c>
      <c r="N421" s="2" t="str">
        <f>INDEX(Departments!$B$1:$B$6, MATCH(Employees!F421, Departments!$A$1:$A$6, 0))</f>
        <v>Marketing</v>
      </c>
      <c r="O421" s="6" t="str">
        <f>INDEX(Departments!$B$2:$B$6,MATCH(Employees!F421,Departments!$A$2:$A$6,0))</f>
        <v>Marketing</v>
      </c>
      <c r="P421" s="6">
        <f>_xlfn.XLOOKUP(A421,Performance!$A$2:$A$501,Performance!$C$2:$C$501)</f>
        <v>1</v>
      </c>
      <c r="Q421" s="7">
        <f t="shared" si="6"/>
        <v>4108.4000000000005</v>
      </c>
    </row>
    <row r="422" spans="1:17" hidden="1" x14ac:dyDescent="0.25">
      <c r="A422" s="2" t="s">
        <v>1287</v>
      </c>
      <c r="B422" s="2" t="s">
        <v>77</v>
      </c>
      <c r="C422" s="2" t="s">
        <v>69</v>
      </c>
      <c r="D422" s="2" t="s">
        <v>29</v>
      </c>
      <c r="E422" s="2">
        <v>32</v>
      </c>
      <c r="F422" s="2" t="s">
        <v>30</v>
      </c>
      <c r="G422" s="2" t="s">
        <v>46</v>
      </c>
      <c r="H422" s="2" t="s">
        <v>1288</v>
      </c>
      <c r="I422" s="2">
        <v>83994</v>
      </c>
      <c r="J422" s="2" t="s">
        <v>24</v>
      </c>
      <c r="K422" s="2" t="s">
        <v>1289</v>
      </c>
      <c r="L422" s="2" t="s">
        <v>42</v>
      </c>
      <c r="M422" s="2" t="str">
        <f>VLOOKUP(F422,Departments!$A$1:$C$6,2,0)</f>
        <v>IT</v>
      </c>
      <c r="N422" s="2" t="str">
        <f>INDEX(Departments!$B$1:$B$6, MATCH(Employees!F422, Departments!$A$1:$A$6, 0))</f>
        <v>IT</v>
      </c>
      <c r="O422" s="3" t="str">
        <f>INDEX(Departments!$B$2:$B$6,MATCH(Employees!F422,Departments!$A$2:$A$6,0))</f>
        <v>IT</v>
      </c>
      <c r="P422" s="3">
        <f>INDEX(Performance!$C$2:$C$501,MATCH(Employees!A422,Performance!$A$2:$A$501,0))</f>
        <v>1</v>
      </c>
      <c r="Q422" s="4">
        <f t="shared" si="6"/>
        <v>4199.7</v>
      </c>
    </row>
    <row r="423" spans="1:17" hidden="1" x14ac:dyDescent="0.25">
      <c r="A423" s="2" t="s">
        <v>1290</v>
      </c>
      <c r="B423" s="2" t="s">
        <v>36</v>
      </c>
      <c r="C423" s="2" t="s">
        <v>96</v>
      </c>
      <c r="D423" s="2" t="s">
        <v>20</v>
      </c>
      <c r="E423" s="2">
        <v>43</v>
      </c>
      <c r="F423" s="2" t="s">
        <v>30</v>
      </c>
      <c r="G423" s="2" t="s">
        <v>38</v>
      </c>
      <c r="H423" s="2" t="s">
        <v>1291</v>
      </c>
      <c r="I423" s="2">
        <v>45200</v>
      </c>
      <c r="J423" s="2" t="s">
        <v>24</v>
      </c>
      <c r="K423" s="2" t="s">
        <v>1292</v>
      </c>
      <c r="L423" s="2" t="s">
        <v>42</v>
      </c>
      <c r="M423" s="2" t="str">
        <f>VLOOKUP(F423,Departments!$A$1:$C$6,2,0)</f>
        <v>IT</v>
      </c>
      <c r="N423" s="2" t="str">
        <f>INDEX(Departments!$B$1:$B$6, MATCH(Employees!F423, Departments!$A$1:$A$6, 0))</f>
        <v>IT</v>
      </c>
      <c r="O423" s="3" t="str">
        <f>INDEX(Departments!$B$2:$B$6,MATCH(Employees!F423,Departments!$A$2:$A$6,0))</f>
        <v>IT</v>
      </c>
      <c r="P423" s="3">
        <f>INDEX(Performance!$C$2:$C$501,MATCH(Employees!A423,Performance!$A$2:$A$501,0))</f>
        <v>4</v>
      </c>
      <c r="Q423" s="4">
        <f t="shared" si="6"/>
        <v>4520</v>
      </c>
    </row>
    <row r="424" spans="1:17" hidden="1" x14ac:dyDescent="0.25">
      <c r="A424" s="2" t="s">
        <v>1293</v>
      </c>
      <c r="B424" s="2" t="s">
        <v>44</v>
      </c>
      <c r="C424" s="2" t="s">
        <v>69</v>
      </c>
      <c r="D424" s="2" t="s">
        <v>29</v>
      </c>
      <c r="E424" s="2">
        <v>25</v>
      </c>
      <c r="F424" s="2" t="s">
        <v>37</v>
      </c>
      <c r="G424" s="2" t="s">
        <v>22</v>
      </c>
      <c r="H424" s="2" t="s">
        <v>1294</v>
      </c>
      <c r="I424" s="2">
        <v>84722</v>
      </c>
      <c r="J424" s="2" t="s">
        <v>71</v>
      </c>
      <c r="K424" s="2" t="s">
        <v>1295</v>
      </c>
      <c r="L424" s="2" t="s">
        <v>42</v>
      </c>
      <c r="M424" s="2" t="str">
        <f>VLOOKUP(F424,Departments!$A$1:$C$6,2,0)</f>
        <v>Sales</v>
      </c>
      <c r="N424" s="2" t="str">
        <f>INDEX(Departments!$B$1:$B$6, MATCH(Employees!F424, Departments!$A$1:$A$6, 0))</f>
        <v>Sales</v>
      </c>
      <c r="O424" s="3" t="str">
        <f>INDEX(Departments!$B$2:$B$6,MATCH(Employees!F424,Departments!$A$2:$A$6,0))</f>
        <v>Sales</v>
      </c>
      <c r="P424" s="3">
        <f>INDEX(Performance!$C$2:$C$501,MATCH(Employees!A424,Performance!$A$2:$A$501,0))</f>
        <v>4</v>
      </c>
      <c r="Q424" s="4">
        <f t="shared" si="6"/>
        <v>8472.2000000000007</v>
      </c>
    </row>
    <row r="425" spans="1:17" x14ac:dyDescent="0.25">
      <c r="A425" s="2" t="s">
        <v>1296</v>
      </c>
      <c r="B425" s="2" t="s">
        <v>18</v>
      </c>
      <c r="C425" s="2" t="s">
        <v>69</v>
      </c>
      <c r="D425" s="2" t="s">
        <v>20</v>
      </c>
      <c r="E425" s="2">
        <v>24</v>
      </c>
      <c r="F425" s="2" t="s">
        <v>37</v>
      </c>
      <c r="G425" s="2" t="s">
        <v>22</v>
      </c>
      <c r="H425" s="2" t="s">
        <v>1297</v>
      </c>
      <c r="I425" s="2">
        <v>57088</v>
      </c>
      <c r="J425" s="2" t="s">
        <v>24</v>
      </c>
      <c r="K425" s="2" t="s">
        <v>1298</v>
      </c>
      <c r="L425" s="2" t="s">
        <v>26</v>
      </c>
      <c r="M425" s="2" t="str">
        <f>VLOOKUP(F425,Departments!$A$1:$C$6,2,0)</f>
        <v>Sales</v>
      </c>
      <c r="N425" s="2" t="str">
        <f>INDEX(Departments!$B$1:$B$6, MATCH(Employees!F425, Departments!$A$1:$A$6, 0))</f>
        <v>Sales</v>
      </c>
      <c r="O425" s="6" t="str">
        <f>INDEX(Departments!$B$2:$B$6,MATCH(Employees!F425,Departments!$A$2:$A$6,0))</f>
        <v>Sales</v>
      </c>
      <c r="P425" s="6">
        <f>_xlfn.XLOOKUP(A425,Performance!$A$2:$A$501,Performance!$C$2:$C$501)</f>
        <v>3</v>
      </c>
      <c r="Q425" s="7">
        <f t="shared" si="6"/>
        <v>3996.1600000000003</v>
      </c>
    </row>
    <row r="426" spans="1:17" hidden="1" x14ac:dyDescent="0.25">
      <c r="A426" s="2" t="s">
        <v>1299</v>
      </c>
      <c r="B426" s="2" t="s">
        <v>64</v>
      </c>
      <c r="C426" s="2" t="s">
        <v>69</v>
      </c>
      <c r="D426" s="2" t="s">
        <v>29</v>
      </c>
      <c r="E426" s="2">
        <v>52</v>
      </c>
      <c r="F426" s="2" t="s">
        <v>56</v>
      </c>
      <c r="G426" s="2" t="s">
        <v>114</v>
      </c>
      <c r="H426" s="2" t="s">
        <v>1300</v>
      </c>
      <c r="I426" s="2">
        <v>106181</v>
      </c>
      <c r="J426" s="2" t="s">
        <v>40</v>
      </c>
      <c r="K426" s="2" t="s">
        <v>1301</v>
      </c>
      <c r="L426" s="2" t="s">
        <v>26</v>
      </c>
      <c r="M426" s="2" t="str">
        <f>VLOOKUP(F426,Departments!$A$1:$C$6,2,0)</f>
        <v>Finance</v>
      </c>
      <c r="N426" s="2" t="str">
        <f>INDEX(Departments!$B$1:$B$6, MATCH(Employees!F426, Departments!$A$1:$A$6, 0))</f>
        <v>Finance</v>
      </c>
      <c r="O426" s="3" t="str">
        <f>INDEX(Departments!$B$2:$B$6,MATCH(Employees!F426,Departments!$A$2:$A$6,0))</f>
        <v>Finance</v>
      </c>
      <c r="P426" s="3">
        <f>INDEX(Performance!$C$2:$C$501,MATCH(Employees!A426,Performance!$A$2:$A$501,0))</f>
        <v>2</v>
      </c>
      <c r="Q426" s="4">
        <f t="shared" si="6"/>
        <v>5309.05</v>
      </c>
    </row>
    <row r="427" spans="1:17" hidden="1" x14ac:dyDescent="0.25">
      <c r="A427" s="2" t="s">
        <v>1302</v>
      </c>
      <c r="B427" s="2" t="s">
        <v>77</v>
      </c>
      <c r="C427" s="2" t="s">
        <v>96</v>
      </c>
      <c r="D427" s="2" t="s">
        <v>20</v>
      </c>
      <c r="E427" s="2">
        <v>48</v>
      </c>
      <c r="F427" s="2" t="s">
        <v>30</v>
      </c>
      <c r="G427" s="2" t="s">
        <v>22</v>
      </c>
      <c r="H427" s="2" t="s">
        <v>1303</v>
      </c>
      <c r="I427" s="2">
        <v>117192</v>
      </c>
      <c r="J427" s="2" t="s">
        <v>66</v>
      </c>
      <c r="K427" s="2" t="s">
        <v>1304</v>
      </c>
      <c r="L427" s="2" t="s">
        <v>26</v>
      </c>
      <c r="M427" s="2" t="str">
        <f>VLOOKUP(F427,Departments!$A$1:$C$6,2,0)</f>
        <v>IT</v>
      </c>
      <c r="N427" s="2" t="str">
        <f>INDEX(Departments!$B$1:$B$6, MATCH(Employees!F427, Departments!$A$1:$A$6, 0))</f>
        <v>IT</v>
      </c>
      <c r="O427" s="3" t="str">
        <f>INDEX(Departments!$B$2:$B$6,MATCH(Employees!F427,Departments!$A$2:$A$6,0))</f>
        <v>IT</v>
      </c>
      <c r="P427" s="3">
        <f>INDEX(Performance!$C$2:$C$501,MATCH(Employees!A427,Performance!$A$2:$A$501,0))</f>
        <v>5</v>
      </c>
      <c r="Q427" s="4">
        <f t="shared" si="6"/>
        <v>17578.8</v>
      </c>
    </row>
    <row r="428" spans="1:17" hidden="1" x14ac:dyDescent="0.25">
      <c r="A428" s="2" t="s">
        <v>1305</v>
      </c>
      <c r="B428" s="2" t="s">
        <v>100</v>
      </c>
      <c r="C428" s="2" t="s">
        <v>19</v>
      </c>
      <c r="D428" s="2" t="s">
        <v>20</v>
      </c>
      <c r="E428" s="2">
        <v>43</v>
      </c>
      <c r="F428" s="2" t="s">
        <v>30</v>
      </c>
      <c r="G428" s="2" t="s">
        <v>114</v>
      </c>
      <c r="H428" s="2" t="s">
        <v>1306</v>
      </c>
      <c r="I428" s="2">
        <v>114670</v>
      </c>
      <c r="J428" s="2" t="s">
        <v>66</v>
      </c>
      <c r="K428" s="2" t="s">
        <v>1307</v>
      </c>
      <c r="L428" s="2" t="s">
        <v>42</v>
      </c>
      <c r="M428" s="2" t="str">
        <f>VLOOKUP(F428,Departments!$A$1:$C$6,2,0)</f>
        <v>IT</v>
      </c>
      <c r="N428" s="2" t="str">
        <f>INDEX(Departments!$B$1:$B$6, MATCH(Employees!F428, Departments!$A$1:$A$6, 0))</f>
        <v>IT</v>
      </c>
      <c r="O428" s="3" t="str">
        <f>INDEX(Departments!$B$2:$B$6,MATCH(Employees!F428,Departments!$A$2:$A$6,0))</f>
        <v>IT</v>
      </c>
      <c r="P428" s="3">
        <f>INDEX(Performance!$C$2:$C$501,MATCH(Employees!A428,Performance!$A$2:$A$501,0))</f>
        <v>3</v>
      </c>
      <c r="Q428" s="4">
        <f t="shared" si="6"/>
        <v>8026.9000000000005</v>
      </c>
    </row>
    <row r="429" spans="1:17" hidden="1" x14ac:dyDescent="0.25">
      <c r="A429" s="2" t="s">
        <v>1308</v>
      </c>
      <c r="B429" s="2" t="s">
        <v>36</v>
      </c>
      <c r="C429" s="2" t="s">
        <v>69</v>
      </c>
      <c r="D429" s="2" t="s">
        <v>20</v>
      </c>
      <c r="E429" s="2">
        <v>36</v>
      </c>
      <c r="F429" s="2" t="s">
        <v>21</v>
      </c>
      <c r="G429" s="2" t="s">
        <v>46</v>
      </c>
      <c r="H429" s="2" t="s">
        <v>693</v>
      </c>
      <c r="I429" s="2">
        <v>116951</v>
      </c>
      <c r="J429" s="2" t="s">
        <v>86</v>
      </c>
      <c r="K429" s="2" t="s">
        <v>1309</v>
      </c>
      <c r="L429" s="2" t="s">
        <v>26</v>
      </c>
      <c r="M429" s="2" t="str">
        <f>VLOOKUP(F429,Departments!$A$1:$C$6,2,0)</f>
        <v>HR</v>
      </c>
      <c r="N429" s="2" t="str">
        <f>INDEX(Departments!$B$1:$B$6, MATCH(Employees!F429, Departments!$A$1:$A$6, 0))</f>
        <v>HR</v>
      </c>
      <c r="O429" s="3" t="str">
        <f>INDEX(Departments!$B$2:$B$6,MATCH(Employees!F429,Departments!$A$2:$A$6,0))</f>
        <v>HR</v>
      </c>
      <c r="P429" s="3">
        <f>INDEX(Performance!$C$2:$C$501,MATCH(Employees!A429,Performance!$A$2:$A$501,0))</f>
        <v>2</v>
      </c>
      <c r="Q429" s="4">
        <f t="shared" si="6"/>
        <v>5847.55</v>
      </c>
    </row>
    <row r="430" spans="1:17" hidden="1" x14ac:dyDescent="0.25">
      <c r="A430" s="2" t="s">
        <v>1310</v>
      </c>
      <c r="B430" s="2" t="s">
        <v>77</v>
      </c>
      <c r="C430" s="2" t="s">
        <v>89</v>
      </c>
      <c r="D430" s="2" t="s">
        <v>20</v>
      </c>
      <c r="E430" s="2">
        <v>43</v>
      </c>
      <c r="F430" s="2" t="s">
        <v>21</v>
      </c>
      <c r="G430" s="2" t="s">
        <v>31</v>
      </c>
      <c r="H430" s="2" t="s">
        <v>656</v>
      </c>
      <c r="I430" s="2">
        <v>86123</v>
      </c>
      <c r="J430" s="2" t="s">
        <v>40</v>
      </c>
      <c r="K430" s="2" t="s">
        <v>1311</v>
      </c>
      <c r="L430" s="2" t="s">
        <v>42</v>
      </c>
      <c r="M430" s="2" t="str">
        <f>VLOOKUP(F430,Departments!$A$1:$C$6,2,0)</f>
        <v>HR</v>
      </c>
      <c r="N430" s="2" t="str">
        <f>INDEX(Departments!$B$1:$B$6, MATCH(Employees!F430, Departments!$A$1:$A$6, 0))</f>
        <v>HR</v>
      </c>
      <c r="O430" s="3" t="str">
        <f>INDEX(Departments!$B$2:$B$6,MATCH(Employees!F430,Departments!$A$2:$A$6,0))</f>
        <v>HR</v>
      </c>
      <c r="P430" s="3">
        <f>INDEX(Performance!$C$2:$C$501,MATCH(Employees!A430,Performance!$A$2:$A$501,0))</f>
        <v>1</v>
      </c>
      <c r="Q430" s="4">
        <f t="shared" si="6"/>
        <v>4306.1500000000005</v>
      </c>
    </row>
    <row r="431" spans="1:17" hidden="1" x14ac:dyDescent="0.25">
      <c r="A431" s="2" t="s">
        <v>1312</v>
      </c>
      <c r="B431" s="2" t="s">
        <v>18</v>
      </c>
      <c r="C431" s="2" t="s">
        <v>96</v>
      </c>
      <c r="D431" s="2" t="s">
        <v>20</v>
      </c>
      <c r="E431" s="2">
        <v>45</v>
      </c>
      <c r="F431" s="2" t="s">
        <v>56</v>
      </c>
      <c r="G431" s="2" t="s">
        <v>22</v>
      </c>
      <c r="H431" s="2" t="s">
        <v>1313</v>
      </c>
      <c r="I431" s="2">
        <v>68220</v>
      </c>
      <c r="J431" s="2" t="s">
        <v>86</v>
      </c>
      <c r="K431" s="2" t="s">
        <v>1314</v>
      </c>
      <c r="L431" s="2" t="s">
        <v>26</v>
      </c>
      <c r="M431" s="2" t="str">
        <f>VLOOKUP(F431,Departments!$A$1:$C$6,2,0)</f>
        <v>Finance</v>
      </c>
      <c r="N431" s="2" t="str">
        <f>INDEX(Departments!$B$1:$B$6, MATCH(Employees!F431, Departments!$A$1:$A$6, 0))</f>
        <v>Finance</v>
      </c>
      <c r="O431" s="3" t="str">
        <f>INDEX(Departments!$B$2:$B$6,MATCH(Employees!F431,Departments!$A$2:$A$6,0))</f>
        <v>Finance</v>
      </c>
      <c r="P431" s="3">
        <f>INDEX(Performance!$C$2:$C$501,MATCH(Employees!A431,Performance!$A$2:$A$501,0))</f>
        <v>5</v>
      </c>
      <c r="Q431" s="4">
        <f t="shared" si="6"/>
        <v>10233</v>
      </c>
    </row>
    <row r="432" spans="1:17" hidden="1" x14ac:dyDescent="0.25">
      <c r="A432" s="2" t="s">
        <v>1315</v>
      </c>
      <c r="B432" s="2" t="s">
        <v>55</v>
      </c>
      <c r="C432" s="2" t="s">
        <v>136</v>
      </c>
      <c r="D432" s="2" t="s">
        <v>20</v>
      </c>
      <c r="E432" s="2">
        <v>60</v>
      </c>
      <c r="F432" s="2" t="s">
        <v>45</v>
      </c>
      <c r="G432" s="2" t="s">
        <v>38</v>
      </c>
      <c r="H432" s="2" t="s">
        <v>1316</v>
      </c>
      <c r="I432" s="2">
        <v>115147</v>
      </c>
      <c r="J432" s="2" t="s">
        <v>40</v>
      </c>
      <c r="K432" s="2" t="s">
        <v>1317</v>
      </c>
      <c r="L432" s="2" t="s">
        <v>42</v>
      </c>
      <c r="M432" s="2" t="str">
        <f>VLOOKUP(F432,Departments!$A$1:$C$6,2,0)</f>
        <v>Marketing</v>
      </c>
      <c r="N432" s="2" t="str">
        <f>INDEX(Departments!$B$1:$B$6, MATCH(Employees!F432, Departments!$A$1:$A$6, 0))</f>
        <v>Marketing</v>
      </c>
      <c r="O432" s="3" t="str">
        <f>INDEX(Departments!$B$2:$B$6,MATCH(Employees!F432,Departments!$A$2:$A$6,0))</f>
        <v>Marketing</v>
      </c>
      <c r="P432" s="3">
        <f>INDEX(Performance!$C$2:$C$501,MATCH(Employees!A432,Performance!$A$2:$A$501,0))</f>
        <v>2</v>
      </c>
      <c r="Q432" s="4">
        <f t="shared" si="6"/>
        <v>5757.35</v>
      </c>
    </row>
    <row r="433" spans="1:17" hidden="1" x14ac:dyDescent="0.25">
      <c r="A433" s="2" t="s">
        <v>1318</v>
      </c>
      <c r="B433" s="2" t="s">
        <v>100</v>
      </c>
      <c r="C433" s="2" t="s">
        <v>51</v>
      </c>
      <c r="D433" s="2" t="s">
        <v>20</v>
      </c>
      <c r="E433" s="2">
        <v>54</v>
      </c>
      <c r="F433" s="2" t="s">
        <v>56</v>
      </c>
      <c r="G433" s="2" t="s">
        <v>31</v>
      </c>
      <c r="H433" s="2" t="s">
        <v>1319</v>
      </c>
      <c r="I433" s="2">
        <v>68028</v>
      </c>
      <c r="J433" s="2" t="s">
        <v>24</v>
      </c>
      <c r="K433" s="2" t="s">
        <v>1320</v>
      </c>
      <c r="L433" s="2" t="s">
        <v>42</v>
      </c>
      <c r="M433" s="2" t="str">
        <f>VLOOKUP(F433,Departments!$A$1:$C$6,2,0)</f>
        <v>Finance</v>
      </c>
      <c r="N433" s="2" t="str">
        <f>INDEX(Departments!$B$1:$B$6, MATCH(Employees!F433, Departments!$A$1:$A$6, 0))</f>
        <v>Finance</v>
      </c>
      <c r="O433" s="3" t="str">
        <f>INDEX(Departments!$B$2:$B$6,MATCH(Employees!F433,Departments!$A$2:$A$6,0))</f>
        <v>Finance</v>
      </c>
      <c r="P433" s="3">
        <f>INDEX(Performance!$C$2:$C$501,MATCH(Employees!A433,Performance!$A$2:$A$501,0))</f>
        <v>4</v>
      </c>
      <c r="Q433" s="4">
        <f t="shared" si="6"/>
        <v>6802.8</v>
      </c>
    </row>
    <row r="434" spans="1:17" hidden="1" x14ac:dyDescent="0.25">
      <c r="A434" s="2" t="s">
        <v>1321</v>
      </c>
      <c r="B434" s="2" t="s">
        <v>44</v>
      </c>
      <c r="C434" s="2" t="s">
        <v>51</v>
      </c>
      <c r="D434" s="2" t="s">
        <v>29</v>
      </c>
      <c r="E434" s="2">
        <v>52</v>
      </c>
      <c r="F434" s="2" t="s">
        <v>45</v>
      </c>
      <c r="G434" s="2" t="s">
        <v>114</v>
      </c>
      <c r="H434" s="2" t="s">
        <v>1322</v>
      </c>
      <c r="I434" s="2">
        <v>46732</v>
      </c>
      <c r="J434" s="2" t="s">
        <v>71</v>
      </c>
      <c r="K434" s="2" t="s">
        <v>1323</v>
      </c>
      <c r="L434" s="2" t="s">
        <v>42</v>
      </c>
      <c r="M434" s="2" t="str">
        <f>VLOOKUP(F434,Departments!$A$1:$C$6,2,0)</f>
        <v>Marketing</v>
      </c>
      <c r="N434" s="2" t="str">
        <f>INDEX(Departments!$B$1:$B$6, MATCH(Employees!F434, Departments!$A$1:$A$6, 0))</f>
        <v>Marketing</v>
      </c>
      <c r="O434" s="3" t="str">
        <f>INDEX(Departments!$B$2:$B$6,MATCH(Employees!F434,Departments!$A$2:$A$6,0))</f>
        <v>Marketing</v>
      </c>
      <c r="P434" s="3">
        <f>INDEX(Performance!$C$2:$C$501,MATCH(Employees!A434,Performance!$A$2:$A$501,0))</f>
        <v>1</v>
      </c>
      <c r="Q434" s="4">
        <f t="shared" si="6"/>
        <v>2336.6</v>
      </c>
    </row>
    <row r="435" spans="1:17" hidden="1" x14ac:dyDescent="0.25">
      <c r="A435" s="2" t="s">
        <v>1324</v>
      </c>
      <c r="B435" s="2" t="s">
        <v>50</v>
      </c>
      <c r="C435" s="2" t="s">
        <v>136</v>
      </c>
      <c r="D435" s="2" t="s">
        <v>29</v>
      </c>
      <c r="E435" s="2">
        <v>53</v>
      </c>
      <c r="F435" s="2" t="s">
        <v>21</v>
      </c>
      <c r="G435" s="2" t="s">
        <v>114</v>
      </c>
      <c r="H435" s="2" t="s">
        <v>1325</v>
      </c>
      <c r="I435" s="2">
        <v>37701</v>
      </c>
      <c r="J435" s="2" t="s">
        <v>40</v>
      </c>
      <c r="K435" s="2" t="s">
        <v>1326</v>
      </c>
      <c r="L435" s="2" t="s">
        <v>42</v>
      </c>
      <c r="M435" s="2" t="str">
        <f>VLOOKUP(F435,Departments!$A$1:$C$6,2,0)</f>
        <v>HR</v>
      </c>
      <c r="N435" s="2" t="str">
        <f>INDEX(Departments!$B$1:$B$6, MATCH(Employees!F435, Departments!$A$1:$A$6, 0))</f>
        <v>HR</v>
      </c>
      <c r="O435" s="3" t="str">
        <f>INDEX(Departments!$B$2:$B$6,MATCH(Employees!F435,Departments!$A$2:$A$6,0))</f>
        <v>HR</v>
      </c>
      <c r="P435" s="3">
        <f>INDEX(Performance!$C$2:$C$501,MATCH(Employees!A435,Performance!$A$2:$A$501,0))</f>
        <v>4</v>
      </c>
      <c r="Q435" s="4">
        <f t="shared" si="6"/>
        <v>3770.1000000000004</v>
      </c>
    </row>
    <row r="436" spans="1:17" hidden="1" x14ac:dyDescent="0.25">
      <c r="A436" s="2" t="s">
        <v>1327</v>
      </c>
      <c r="B436" s="2" t="s">
        <v>55</v>
      </c>
      <c r="C436" s="2" t="s">
        <v>51</v>
      </c>
      <c r="D436" s="2" t="s">
        <v>20</v>
      </c>
      <c r="E436" s="2">
        <v>51</v>
      </c>
      <c r="F436" s="2" t="s">
        <v>21</v>
      </c>
      <c r="G436" s="2" t="s">
        <v>31</v>
      </c>
      <c r="H436" s="2" t="s">
        <v>828</v>
      </c>
      <c r="I436" s="2">
        <v>103930</v>
      </c>
      <c r="J436" s="2" t="s">
        <v>66</v>
      </c>
      <c r="K436" s="2" t="s">
        <v>1328</v>
      </c>
      <c r="L436" s="2" t="s">
        <v>42</v>
      </c>
      <c r="M436" s="2" t="str">
        <f>VLOOKUP(F436,Departments!$A$1:$C$6,2,0)</f>
        <v>HR</v>
      </c>
      <c r="N436" s="2" t="str">
        <f>INDEX(Departments!$B$1:$B$6, MATCH(Employees!F436, Departments!$A$1:$A$6, 0))</f>
        <v>HR</v>
      </c>
      <c r="O436" s="3" t="str">
        <f>INDEX(Departments!$B$2:$B$6,MATCH(Employees!F436,Departments!$A$2:$A$6,0))</f>
        <v>HR</v>
      </c>
      <c r="P436" s="3">
        <f>INDEX(Performance!$C$2:$C$501,MATCH(Employees!A436,Performance!$A$2:$A$501,0))</f>
        <v>1</v>
      </c>
      <c r="Q436" s="4">
        <f t="shared" si="6"/>
        <v>5196.5</v>
      </c>
    </row>
    <row r="437" spans="1:17" hidden="1" x14ac:dyDescent="0.25">
      <c r="A437" s="2" t="s">
        <v>1329</v>
      </c>
      <c r="B437" s="2" t="s">
        <v>149</v>
      </c>
      <c r="C437" s="2" t="s">
        <v>96</v>
      </c>
      <c r="D437" s="2" t="s">
        <v>20</v>
      </c>
      <c r="E437" s="2">
        <v>41</v>
      </c>
      <c r="F437" s="2" t="s">
        <v>30</v>
      </c>
      <c r="G437" s="2" t="s">
        <v>22</v>
      </c>
      <c r="H437" s="2" t="s">
        <v>1047</v>
      </c>
      <c r="I437" s="2">
        <v>83188</v>
      </c>
      <c r="J437" s="2" t="s">
        <v>86</v>
      </c>
      <c r="K437" s="2" t="s">
        <v>1330</v>
      </c>
      <c r="L437" s="2" t="s">
        <v>26</v>
      </c>
      <c r="M437" s="2" t="str">
        <f>VLOOKUP(F437,Departments!$A$1:$C$6,2,0)</f>
        <v>IT</v>
      </c>
      <c r="N437" s="2" t="str">
        <f>INDEX(Departments!$B$1:$B$6, MATCH(Employees!F437, Departments!$A$1:$A$6, 0))</f>
        <v>IT</v>
      </c>
      <c r="O437" s="3" t="str">
        <f>INDEX(Departments!$B$2:$B$6,MATCH(Employees!F437,Departments!$A$2:$A$6,0))</f>
        <v>IT</v>
      </c>
      <c r="P437" s="3">
        <f>INDEX(Performance!$C$2:$C$501,MATCH(Employees!A437,Performance!$A$2:$A$501,0))</f>
        <v>1</v>
      </c>
      <c r="Q437" s="4">
        <f t="shared" si="6"/>
        <v>4159.4000000000005</v>
      </c>
    </row>
    <row r="438" spans="1:17" hidden="1" x14ac:dyDescent="0.25">
      <c r="A438" s="2" t="s">
        <v>1331</v>
      </c>
      <c r="B438" s="2" t="s">
        <v>18</v>
      </c>
      <c r="C438" s="2" t="s">
        <v>101</v>
      </c>
      <c r="D438" s="2" t="s">
        <v>29</v>
      </c>
      <c r="E438" s="2">
        <v>23</v>
      </c>
      <c r="F438" s="2" t="s">
        <v>45</v>
      </c>
      <c r="G438" s="2" t="s">
        <v>31</v>
      </c>
      <c r="H438" s="2" t="s">
        <v>1332</v>
      </c>
      <c r="I438" s="2">
        <v>50616</v>
      </c>
      <c r="J438" s="2" t="s">
        <v>66</v>
      </c>
      <c r="K438" s="2" t="s">
        <v>1333</v>
      </c>
      <c r="L438" s="2" t="s">
        <v>42</v>
      </c>
      <c r="M438" s="2" t="str">
        <f>VLOOKUP(F438,Departments!$A$1:$C$6,2,0)</f>
        <v>Marketing</v>
      </c>
      <c r="N438" s="2" t="str">
        <f>INDEX(Departments!$B$1:$B$6, MATCH(Employees!F438, Departments!$A$1:$A$6, 0))</f>
        <v>Marketing</v>
      </c>
      <c r="O438" s="3" t="str">
        <f>INDEX(Departments!$B$2:$B$6,MATCH(Employees!F438,Departments!$A$2:$A$6,0))</f>
        <v>Marketing</v>
      </c>
      <c r="P438" s="3">
        <f>INDEX(Performance!$C$2:$C$501,MATCH(Employees!A438,Performance!$A$2:$A$501,0))</f>
        <v>2</v>
      </c>
      <c r="Q438" s="4">
        <f t="shared" si="6"/>
        <v>2530.8000000000002</v>
      </c>
    </row>
    <row r="439" spans="1:17" hidden="1" x14ac:dyDescent="0.25">
      <c r="A439" s="2" t="s">
        <v>1334</v>
      </c>
      <c r="B439" s="2" t="s">
        <v>100</v>
      </c>
      <c r="C439" s="2" t="s">
        <v>136</v>
      </c>
      <c r="D439" s="2" t="s">
        <v>29</v>
      </c>
      <c r="E439" s="2">
        <v>52</v>
      </c>
      <c r="F439" s="2" t="s">
        <v>45</v>
      </c>
      <c r="G439" s="2" t="s">
        <v>22</v>
      </c>
      <c r="H439" s="2" t="s">
        <v>1335</v>
      </c>
      <c r="I439" s="2">
        <v>80964</v>
      </c>
      <c r="J439" s="2" t="s">
        <v>66</v>
      </c>
      <c r="K439" s="2" t="s">
        <v>1336</v>
      </c>
      <c r="L439" s="2" t="s">
        <v>26</v>
      </c>
      <c r="M439" s="2" t="str">
        <f>VLOOKUP(F439,Departments!$A$1:$C$6,2,0)</f>
        <v>Marketing</v>
      </c>
      <c r="N439" s="2" t="str">
        <f>INDEX(Departments!$B$1:$B$6, MATCH(Employees!F439, Departments!$A$1:$A$6, 0))</f>
        <v>Marketing</v>
      </c>
      <c r="O439" s="3" t="str">
        <f>INDEX(Departments!$B$2:$B$6,MATCH(Employees!F439,Departments!$A$2:$A$6,0))</f>
        <v>Marketing</v>
      </c>
      <c r="P439" s="3">
        <f>INDEX(Performance!$C$2:$C$501,MATCH(Employees!A439,Performance!$A$2:$A$501,0))</f>
        <v>2</v>
      </c>
      <c r="Q439" s="4">
        <f t="shared" si="6"/>
        <v>4048.2000000000003</v>
      </c>
    </row>
    <row r="440" spans="1:17" hidden="1" x14ac:dyDescent="0.25">
      <c r="A440" s="2" t="s">
        <v>1337</v>
      </c>
      <c r="B440" s="2" t="s">
        <v>44</v>
      </c>
      <c r="C440" s="2" t="s">
        <v>89</v>
      </c>
      <c r="D440" s="2" t="s">
        <v>29</v>
      </c>
      <c r="E440" s="2">
        <v>28</v>
      </c>
      <c r="F440" s="2" t="s">
        <v>45</v>
      </c>
      <c r="G440" s="2" t="s">
        <v>31</v>
      </c>
      <c r="H440" s="2" t="s">
        <v>1338</v>
      </c>
      <c r="I440" s="2">
        <v>38806</v>
      </c>
      <c r="J440" s="2" t="s">
        <v>66</v>
      </c>
      <c r="K440" s="2" t="s">
        <v>1339</v>
      </c>
      <c r="L440" s="2" t="s">
        <v>42</v>
      </c>
      <c r="M440" s="2" t="str">
        <f>VLOOKUP(F440,Departments!$A$1:$C$6,2,0)</f>
        <v>Marketing</v>
      </c>
      <c r="N440" s="2" t="str">
        <f>INDEX(Departments!$B$1:$B$6, MATCH(Employees!F440, Departments!$A$1:$A$6, 0))</f>
        <v>Marketing</v>
      </c>
      <c r="O440" s="3" t="str">
        <f>INDEX(Departments!$B$2:$B$6,MATCH(Employees!F440,Departments!$A$2:$A$6,0))</f>
        <v>Marketing</v>
      </c>
      <c r="P440" s="3">
        <f>INDEX(Performance!$C$2:$C$501,MATCH(Employees!A440,Performance!$A$2:$A$501,0))</f>
        <v>2</v>
      </c>
      <c r="Q440" s="4">
        <f t="shared" si="6"/>
        <v>1940.3000000000002</v>
      </c>
    </row>
    <row r="441" spans="1:17" hidden="1" x14ac:dyDescent="0.25">
      <c r="A441" s="2" t="s">
        <v>1340</v>
      </c>
      <c r="B441" s="2" t="s">
        <v>100</v>
      </c>
      <c r="C441" s="2" t="s">
        <v>89</v>
      </c>
      <c r="D441" s="2" t="s">
        <v>20</v>
      </c>
      <c r="E441" s="2">
        <v>29</v>
      </c>
      <c r="F441" s="2" t="s">
        <v>21</v>
      </c>
      <c r="G441" s="2" t="s">
        <v>38</v>
      </c>
      <c r="H441" s="2" t="s">
        <v>825</v>
      </c>
      <c r="I441" s="2">
        <v>71247</v>
      </c>
      <c r="J441" s="2" t="s">
        <v>66</v>
      </c>
      <c r="K441" s="2" t="s">
        <v>1341</v>
      </c>
      <c r="L441" s="2" t="s">
        <v>42</v>
      </c>
      <c r="M441" s="2" t="str">
        <f>VLOOKUP(F441,Departments!$A$1:$C$6,2,0)</f>
        <v>HR</v>
      </c>
      <c r="N441" s="2" t="str">
        <f>INDEX(Departments!$B$1:$B$6, MATCH(Employees!F441, Departments!$A$1:$A$6, 0))</f>
        <v>HR</v>
      </c>
      <c r="O441" s="3" t="str">
        <f>INDEX(Departments!$B$2:$B$6,MATCH(Employees!F441,Departments!$A$2:$A$6,0))</f>
        <v>HR</v>
      </c>
      <c r="P441" s="3">
        <f>INDEX(Performance!$C$2:$C$501,MATCH(Employees!A441,Performance!$A$2:$A$501,0))</f>
        <v>4</v>
      </c>
      <c r="Q441" s="4">
        <f t="shared" si="6"/>
        <v>7124.7000000000007</v>
      </c>
    </row>
    <row r="442" spans="1:17" hidden="1" x14ac:dyDescent="0.25">
      <c r="A442" s="2" t="s">
        <v>1342</v>
      </c>
      <c r="B442" s="2" t="s">
        <v>64</v>
      </c>
      <c r="C442" s="2" t="s">
        <v>171</v>
      </c>
      <c r="D442" s="2" t="s">
        <v>20</v>
      </c>
      <c r="E442" s="2">
        <v>29</v>
      </c>
      <c r="F442" s="2" t="s">
        <v>45</v>
      </c>
      <c r="G442" s="2" t="s">
        <v>46</v>
      </c>
      <c r="H442" s="2" t="s">
        <v>1343</v>
      </c>
      <c r="I442" s="2">
        <v>109197</v>
      </c>
      <c r="J442" s="2" t="s">
        <v>86</v>
      </c>
      <c r="K442" s="2" t="s">
        <v>1344</v>
      </c>
      <c r="L442" s="2" t="s">
        <v>42</v>
      </c>
      <c r="M442" s="2" t="str">
        <f>VLOOKUP(F442,Departments!$A$1:$C$6,2,0)</f>
        <v>Marketing</v>
      </c>
      <c r="N442" s="2" t="str">
        <f>INDEX(Departments!$B$1:$B$6, MATCH(Employees!F442, Departments!$A$1:$A$6, 0))</f>
        <v>Marketing</v>
      </c>
      <c r="O442" s="3" t="str">
        <f>INDEX(Departments!$B$2:$B$6,MATCH(Employees!F442,Departments!$A$2:$A$6,0))</f>
        <v>Marketing</v>
      </c>
      <c r="P442" s="3">
        <f>INDEX(Performance!$C$2:$C$501,MATCH(Employees!A442,Performance!$A$2:$A$501,0))</f>
        <v>2</v>
      </c>
      <c r="Q442" s="4">
        <f t="shared" si="6"/>
        <v>5459.85</v>
      </c>
    </row>
    <row r="443" spans="1:17" hidden="1" x14ac:dyDescent="0.25">
      <c r="A443" s="2" t="s">
        <v>1345</v>
      </c>
      <c r="B443" s="2" t="s">
        <v>50</v>
      </c>
      <c r="C443" s="2" t="s">
        <v>69</v>
      </c>
      <c r="D443" s="2" t="s">
        <v>29</v>
      </c>
      <c r="E443" s="2">
        <v>47</v>
      </c>
      <c r="F443" s="2" t="s">
        <v>37</v>
      </c>
      <c r="G443" s="2" t="s">
        <v>46</v>
      </c>
      <c r="H443" s="2" t="s">
        <v>1346</v>
      </c>
      <c r="I443" s="2">
        <v>77368</v>
      </c>
      <c r="J443" s="2" t="s">
        <v>24</v>
      </c>
      <c r="K443" s="2" t="s">
        <v>1347</v>
      </c>
      <c r="L443" s="2" t="s">
        <v>26</v>
      </c>
      <c r="M443" s="2" t="str">
        <f>VLOOKUP(F443,Departments!$A$1:$C$6,2,0)</f>
        <v>Sales</v>
      </c>
      <c r="N443" s="2" t="str">
        <f>INDEX(Departments!$B$1:$B$6, MATCH(Employees!F443, Departments!$A$1:$A$6, 0))</f>
        <v>Sales</v>
      </c>
      <c r="O443" s="3" t="str">
        <f>INDEX(Departments!$B$2:$B$6,MATCH(Employees!F443,Departments!$A$2:$A$6,0))</f>
        <v>Sales</v>
      </c>
      <c r="P443" s="3">
        <f>INDEX(Performance!$C$2:$C$501,MATCH(Employees!A443,Performance!$A$2:$A$501,0))</f>
        <v>2</v>
      </c>
      <c r="Q443" s="4">
        <f t="shared" si="6"/>
        <v>3868.4</v>
      </c>
    </row>
    <row r="444" spans="1:17" hidden="1" x14ac:dyDescent="0.25">
      <c r="A444" s="2" t="s">
        <v>1348</v>
      </c>
      <c r="B444" s="2" t="s">
        <v>77</v>
      </c>
      <c r="C444" s="2" t="s">
        <v>171</v>
      </c>
      <c r="D444" s="2" t="s">
        <v>29</v>
      </c>
      <c r="E444" s="2">
        <v>41</v>
      </c>
      <c r="F444" s="2" t="s">
        <v>21</v>
      </c>
      <c r="G444" s="2" t="s">
        <v>38</v>
      </c>
      <c r="H444" s="2" t="s">
        <v>1349</v>
      </c>
      <c r="I444" s="2">
        <v>62102</v>
      </c>
      <c r="J444" s="2" t="s">
        <v>86</v>
      </c>
      <c r="K444" s="2" t="s">
        <v>1350</v>
      </c>
      <c r="L444" s="2" t="s">
        <v>42</v>
      </c>
      <c r="M444" s="2" t="str">
        <f>VLOOKUP(F444,Departments!$A$1:$C$6,2,0)</f>
        <v>HR</v>
      </c>
      <c r="N444" s="2" t="str">
        <f>INDEX(Departments!$B$1:$B$6, MATCH(Employees!F444, Departments!$A$1:$A$6, 0))</f>
        <v>HR</v>
      </c>
      <c r="O444" s="3" t="str">
        <f>INDEX(Departments!$B$2:$B$6,MATCH(Employees!F444,Departments!$A$2:$A$6,0))</f>
        <v>HR</v>
      </c>
      <c r="P444" s="3">
        <f>INDEX(Performance!$C$2:$C$501,MATCH(Employees!A444,Performance!$A$2:$A$501,0))</f>
        <v>2</v>
      </c>
      <c r="Q444" s="4">
        <f t="shared" si="6"/>
        <v>3105.1000000000004</v>
      </c>
    </row>
    <row r="445" spans="1:17" hidden="1" x14ac:dyDescent="0.25">
      <c r="A445" s="2" t="s">
        <v>1351</v>
      </c>
      <c r="B445" s="2" t="s">
        <v>50</v>
      </c>
      <c r="C445" s="2" t="s">
        <v>19</v>
      </c>
      <c r="D445" s="2" t="s">
        <v>29</v>
      </c>
      <c r="E445" s="2">
        <v>40</v>
      </c>
      <c r="F445" s="2" t="s">
        <v>21</v>
      </c>
      <c r="G445" s="2" t="s">
        <v>46</v>
      </c>
      <c r="H445" s="2" t="s">
        <v>1352</v>
      </c>
      <c r="I445" s="2">
        <v>66499</v>
      </c>
      <c r="J445" s="2" t="s">
        <v>86</v>
      </c>
      <c r="K445" s="2" t="s">
        <v>1353</v>
      </c>
      <c r="L445" s="2" t="s">
        <v>26</v>
      </c>
      <c r="M445" s="2" t="str">
        <f>VLOOKUP(F445,Departments!$A$1:$C$6,2,0)</f>
        <v>HR</v>
      </c>
      <c r="N445" s="2" t="str">
        <f>INDEX(Departments!$B$1:$B$6, MATCH(Employees!F445, Departments!$A$1:$A$6, 0))</f>
        <v>HR</v>
      </c>
      <c r="O445" s="3" t="str">
        <f>INDEX(Departments!$B$2:$B$6,MATCH(Employees!F445,Departments!$A$2:$A$6,0))</f>
        <v>HR</v>
      </c>
      <c r="P445" s="3">
        <f>INDEX(Performance!$C$2:$C$501,MATCH(Employees!A445,Performance!$A$2:$A$501,0))</f>
        <v>2</v>
      </c>
      <c r="Q445" s="4">
        <f t="shared" si="6"/>
        <v>3324.9500000000003</v>
      </c>
    </row>
    <row r="446" spans="1:17" hidden="1" x14ac:dyDescent="0.25">
      <c r="A446" s="2" t="s">
        <v>1354</v>
      </c>
      <c r="B446" s="2" t="s">
        <v>18</v>
      </c>
      <c r="C446" s="2" t="s">
        <v>28</v>
      </c>
      <c r="D446" s="2" t="s">
        <v>29</v>
      </c>
      <c r="E446" s="2">
        <v>47</v>
      </c>
      <c r="F446" s="2" t="s">
        <v>37</v>
      </c>
      <c r="G446" s="2" t="s">
        <v>114</v>
      </c>
      <c r="H446" s="2" t="s">
        <v>1355</v>
      </c>
      <c r="I446" s="2">
        <v>114326</v>
      </c>
      <c r="J446" s="2" t="s">
        <v>40</v>
      </c>
      <c r="K446" s="2" t="s">
        <v>1356</v>
      </c>
      <c r="L446" s="2" t="s">
        <v>42</v>
      </c>
      <c r="M446" s="2" t="str">
        <f>VLOOKUP(F446,Departments!$A$1:$C$6,2,0)</f>
        <v>Sales</v>
      </c>
      <c r="N446" s="2" t="str">
        <f>INDEX(Departments!$B$1:$B$6, MATCH(Employees!F446, Departments!$A$1:$A$6, 0))</f>
        <v>Sales</v>
      </c>
      <c r="O446" s="3" t="str">
        <f>INDEX(Departments!$B$2:$B$6,MATCH(Employees!F446,Departments!$A$2:$A$6,0))</f>
        <v>Sales</v>
      </c>
      <c r="P446" s="3">
        <f>INDEX(Performance!$C$2:$C$501,MATCH(Employees!A446,Performance!$A$2:$A$501,0))</f>
        <v>2</v>
      </c>
      <c r="Q446" s="4">
        <f t="shared" si="6"/>
        <v>5716.3</v>
      </c>
    </row>
    <row r="447" spans="1:17" hidden="1" x14ac:dyDescent="0.25">
      <c r="A447" s="2" t="s">
        <v>1357</v>
      </c>
      <c r="B447" s="2" t="s">
        <v>60</v>
      </c>
      <c r="C447" s="2" t="s">
        <v>84</v>
      </c>
      <c r="D447" s="2" t="s">
        <v>20</v>
      </c>
      <c r="E447" s="2">
        <v>49</v>
      </c>
      <c r="F447" s="2" t="s">
        <v>30</v>
      </c>
      <c r="G447" s="2" t="s">
        <v>38</v>
      </c>
      <c r="H447" s="2" t="s">
        <v>1358</v>
      </c>
      <c r="I447" s="2">
        <v>98144</v>
      </c>
      <c r="J447" s="2" t="s">
        <v>71</v>
      </c>
      <c r="K447" s="2" t="s">
        <v>1359</v>
      </c>
      <c r="L447" s="2" t="s">
        <v>42</v>
      </c>
      <c r="M447" s="2" t="str">
        <f>VLOOKUP(F447,Departments!$A$1:$C$6,2,0)</f>
        <v>IT</v>
      </c>
      <c r="N447" s="2" t="str">
        <f>INDEX(Departments!$B$1:$B$6, MATCH(Employees!F447, Departments!$A$1:$A$6, 0))</f>
        <v>IT</v>
      </c>
      <c r="O447" s="3" t="str">
        <f>INDEX(Departments!$B$2:$B$6,MATCH(Employees!F447,Departments!$A$2:$A$6,0))</f>
        <v>IT</v>
      </c>
      <c r="P447" s="3">
        <f>INDEX(Performance!$C$2:$C$501,MATCH(Employees!A447,Performance!$A$2:$A$501,0))</f>
        <v>1</v>
      </c>
      <c r="Q447" s="4">
        <f t="shared" si="6"/>
        <v>4907.2</v>
      </c>
    </row>
    <row r="448" spans="1:17" hidden="1" x14ac:dyDescent="0.25">
      <c r="A448" s="2" t="s">
        <v>1360</v>
      </c>
      <c r="B448" s="2" t="s">
        <v>149</v>
      </c>
      <c r="C448" s="2" t="s">
        <v>101</v>
      </c>
      <c r="D448" s="2" t="s">
        <v>20</v>
      </c>
      <c r="E448" s="2">
        <v>50</v>
      </c>
      <c r="F448" s="2" t="s">
        <v>56</v>
      </c>
      <c r="G448" s="2" t="s">
        <v>46</v>
      </c>
      <c r="H448" s="2" t="s">
        <v>1361</v>
      </c>
      <c r="I448" s="2">
        <v>61804</v>
      </c>
      <c r="J448" s="2" t="s">
        <v>66</v>
      </c>
      <c r="K448" s="2" t="s">
        <v>1362</v>
      </c>
      <c r="L448" s="2" t="s">
        <v>26</v>
      </c>
      <c r="M448" s="2" t="str">
        <f>VLOOKUP(F448,Departments!$A$1:$C$6,2,0)</f>
        <v>Finance</v>
      </c>
      <c r="N448" s="2" t="str">
        <f>INDEX(Departments!$B$1:$B$6, MATCH(Employees!F448, Departments!$A$1:$A$6, 0))</f>
        <v>Finance</v>
      </c>
      <c r="O448" s="3" t="str">
        <f>INDEX(Departments!$B$2:$B$6,MATCH(Employees!F448,Departments!$A$2:$A$6,0))</f>
        <v>Finance</v>
      </c>
      <c r="P448" s="3">
        <f>INDEX(Performance!$C$2:$C$501,MATCH(Employees!A448,Performance!$A$2:$A$501,0))</f>
        <v>1</v>
      </c>
      <c r="Q448" s="4">
        <f t="shared" si="6"/>
        <v>3090.2000000000003</v>
      </c>
    </row>
    <row r="449" spans="1:17" hidden="1" x14ac:dyDescent="0.25">
      <c r="A449" s="2" t="s">
        <v>1363</v>
      </c>
      <c r="B449" s="2" t="s">
        <v>100</v>
      </c>
      <c r="C449" s="2" t="s">
        <v>136</v>
      </c>
      <c r="D449" s="2" t="s">
        <v>20</v>
      </c>
      <c r="E449" s="2">
        <v>24</v>
      </c>
      <c r="F449" s="2" t="s">
        <v>21</v>
      </c>
      <c r="G449" s="2" t="s">
        <v>38</v>
      </c>
      <c r="H449" s="2" t="s">
        <v>1364</v>
      </c>
      <c r="I449" s="2">
        <v>42829</v>
      </c>
      <c r="J449" s="2" t="s">
        <v>86</v>
      </c>
      <c r="K449" s="2" t="s">
        <v>1365</v>
      </c>
      <c r="L449" s="2" t="s">
        <v>26</v>
      </c>
      <c r="M449" s="2" t="str">
        <f>VLOOKUP(F449,Departments!$A$1:$C$6,2,0)</f>
        <v>HR</v>
      </c>
      <c r="N449" s="2" t="str">
        <f>INDEX(Departments!$B$1:$B$6, MATCH(Employees!F449, Departments!$A$1:$A$6, 0))</f>
        <v>HR</v>
      </c>
      <c r="O449" s="3" t="str">
        <f>INDEX(Departments!$B$2:$B$6,MATCH(Employees!F449,Departments!$A$2:$A$6,0))</f>
        <v>HR</v>
      </c>
      <c r="P449" s="3">
        <f>INDEX(Performance!$C$2:$C$501,MATCH(Employees!A449,Performance!$A$2:$A$501,0))</f>
        <v>4</v>
      </c>
      <c r="Q449" s="4">
        <f t="shared" si="6"/>
        <v>4282.9000000000005</v>
      </c>
    </row>
    <row r="450" spans="1:17" hidden="1" x14ac:dyDescent="0.25">
      <c r="A450" s="2" t="s">
        <v>1366</v>
      </c>
      <c r="B450" s="2" t="s">
        <v>18</v>
      </c>
      <c r="C450" s="2" t="s">
        <v>51</v>
      </c>
      <c r="D450" s="2" t="s">
        <v>29</v>
      </c>
      <c r="E450" s="2">
        <v>39</v>
      </c>
      <c r="F450" s="2" t="s">
        <v>56</v>
      </c>
      <c r="G450" s="2" t="s">
        <v>114</v>
      </c>
      <c r="H450" s="2" t="s">
        <v>1367</v>
      </c>
      <c r="I450" s="2">
        <v>55874</v>
      </c>
      <c r="J450" s="2" t="s">
        <v>66</v>
      </c>
      <c r="K450" s="2" t="s">
        <v>1368</v>
      </c>
      <c r="L450" s="2" t="s">
        <v>42</v>
      </c>
      <c r="M450" s="2" t="str">
        <f>VLOOKUP(F450,Departments!$A$1:$C$6,2,0)</f>
        <v>Finance</v>
      </c>
      <c r="N450" s="2" t="str">
        <f>INDEX(Departments!$B$1:$B$6, MATCH(Employees!F450, Departments!$A$1:$A$6, 0))</f>
        <v>Finance</v>
      </c>
      <c r="O450" s="3" t="str">
        <f>INDEX(Departments!$B$2:$B$6,MATCH(Employees!F450,Departments!$A$2:$A$6,0))</f>
        <v>Finance</v>
      </c>
      <c r="P450" s="3">
        <f>INDEX(Performance!$C$2:$C$501,MATCH(Employees!A450,Performance!$A$2:$A$501,0))</f>
        <v>1</v>
      </c>
      <c r="Q450" s="4">
        <f t="shared" ref="Q450:Q513" si="7">IF(P450=5,I450*0.15,IF(P450=4,I450*0.1,IF(P450=3,I450*0.07,IF(P450&lt;3,I450*0.05,0))))</f>
        <v>2793.7000000000003</v>
      </c>
    </row>
    <row r="451" spans="1:17" hidden="1" x14ac:dyDescent="0.25">
      <c r="A451" s="2" t="s">
        <v>1369</v>
      </c>
      <c r="B451" s="2" t="s">
        <v>55</v>
      </c>
      <c r="C451" s="2" t="s">
        <v>84</v>
      </c>
      <c r="D451" s="2" t="s">
        <v>20</v>
      </c>
      <c r="E451" s="2">
        <v>48</v>
      </c>
      <c r="F451" s="2" t="s">
        <v>37</v>
      </c>
      <c r="G451" s="2" t="s">
        <v>114</v>
      </c>
      <c r="H451" s="2" t="s">
        <v>1370</v>
      </c>
      <c r="I451" s="2">
        <v>110269</v>
      </c>
      <c r="J451" s="2" t="s">
        <v>71</v>
      </c>
      <c r="K451" s="2" t="s">
        <v>1371</v>
      </c>
      <c r="L451" s="2" t="s">
        <v>42</v>
      </c>
      <c r="M451" s="2" t="str">
        <f>VLOOKUP(F451,Departments!$A$1:$C$6,2,0)</f>
        <v>Sales</v>
      </c>
      <c r="N451" s="2" t="str">
        <f>INDEX(Departments!$B$1:$B$6, MATCH(Employees!F451, Departments!$A$1:$A$6, 0))</f>
        <v>Sales</v>
      </c>
      <c r="O451" s="3" t="str">
        <f>INDEX(Departments!$B$2:$B$6,MATCH(Employees!F451,Departments!$A$2:$A$6,0))</f>
        <v>Sales</v>
      </c>
      <c r="P451" s="3">
        <f>INDEX(Performance!$C$2:$C$501,MATCH(Employees!A451,Performance!$A$2:$A$501,0))</f>
        <v>2</v>
      </c>
      <c r="Q451" s="4">
        <f t="shared" si="7"/>
        <v>5513.4500000000007</v>
      </c>
    </row>
    <row r="452" spans="1:17" hidden="1" x14ac:dyDescent="0.25">
      <c r="A452" s="2" t="s">
        <v>1372</v>
      </c>
      <c r="B452" s="2" t="s">
        <v>77</v>
      </c>
      <c r="C452" s="2" t="s">
        <v>171</v>
      </c>
      <c r="D452" s="2" t="s">
        <v>20</v>
      </c>
      <c r="E452" s="2">
        <v>49</v>
      </c>
      <c r="F452" s="2" t="s">
        <v>56</v>
      </c>
      <c r="G452" s="2" t="s">
        <v>22</v>
      </c>
      <c r="H452" s="2" t="s">
        <v>1373</v>
      </c>
      <c r="I452" s="2">
        <v>97118</v>
      </c>
      <c r="J452" s="2" t="s">
        <v>71</v>
      </c>
      <c r="K452" s="2" t="s">
        <v>1374</v>
      </c>
      <c r="L452" s="2" t="s">
        <v>42</v>
      </c>
      <c r="M452" s="2" t="str">
        <f>VLOOKUP(F452,Departments!$A$1:$C$6,2,0)</f>
        <v>Finance</v>
      </c>
      <c r="N452" s="2" t="str">
        <f>INDEX(Departments!$B$1:$B$6, MATCH(Employees!F452, Departments!$A$1:$A$6, 0))</f>
        <v>Finance</v>
      </c>
      <c r="O452" s="3" t="str">
        <f>INDEX(Departments!$B$2:$B$6,MATCH(Employees!F452,Departments!$A$2:$A$6,0))</f>
        <v>Finance</v>
      </c>
      <c r="P452" s="3">
        <f>INDEX(Performance!$C$2:$C$501,MATCH(Employees!A452,Performance!$A$2:$A$501,0))</f>
        <v>5</v>
      </c>
      <c r="Q452" s="4">
        <f t="shared" si="7"/>
        <v>14567.699999999999</v>
      </c>
    </row>
    <row r="453" spans="1:17" hidden="1" x14ac:dyDescent="0.25">
      <c r="A453" s="2" t="s">
        <v>1375</v>
      </c>
      <c r="B453" s="2" t="s">
        <v>55</v>
      </c>
      <c r="C453" s="2" t="s">
        <v>28</v>
      </c>
      <c r="D453" s="2" t="s">
        <v>20</v>
      </c>
      <c r="E453" s="2">
        <v>25</v>
      </c>
      <c r="F453" s="2" t="s">
        <v>56</v>
      </c>
      <c r="G453" s="2" t="s">
        <v>114</v>
      </c>
      <c r="H453" s="2" t="s">
        <v>1376</v>
      </c>
      <c r="I453" s="2">
        <v>73245</v>
      </c>
      <c r="J453" s="2" t="s">
        <v>40</v>
      </c>
      <c r="K453" s="2" t="s">
        <v>1377</v>
      </c>
      <c r="L453" s="2" t="s">
        <v>42</v>
      </c>
      <c r="M453" s="2" t="str">
        <f>VLOOKUP(F453,Departments!$A$1:$C$6,2,0)</f>
        <v>Finance</v>
      </c>
      <c r="N453" s="2" t="str">
        <f>INDEX(Departments!$B$1:$B$6, MATCH(Employees!F453, Departments!$A$1:$A$6, 0))</f>
        <v>Finance</v>
      </c>
      <c r="O453" s="3" t="str">
        <f>INDEX(Departments!$B$2:$B$6,MATCH(Employees!F453,Departments!$A$2:$A$6,0))</f>
        <v>Finance</v>
      </c>
      <c r="P453" s="3">
        <f>INDEX(Performance!$C$2:$C$501,MATCH(Employees!A453,Performance!$A$2:$A$501,0))</f>
        <v>3</v>
      </c>
      <c r="Q453" s="4">
        <f t="shared" si="7"/>
        <v>5127.1500000000005</v>
      </c>
    </row>
    <row r="454" spans="1:17" hidden="1" x14ac:dyDescent="0.25">
      <c r="A454" s="2" t="s">
        <v>1378</v>
      </c>
      <c r="B454" s="2" t="s">
        <v>44</v>
      </c>
      <c r="C454" s="2" t="s">
        <v>136</v>
      </c>
      <c r="D454" s="2" t="s">
        <v>20</v>
      </c>
      <c r="E454" s="2">
        <v>53</v>
      </c>
      <c r="F454" s="2" t="s">
        <v>56</v>
      </c>
      <c r="G454" s="2" t="s">
        <v>114</v>
      </c>
      <c r="H454" s="2" t="s">
        <v>1379</v>
      </c>
      <c r="I454" s="2">
        <v>35589</v>
      </c>
      <c r="J454" s="2" t="s">
        <v>66</v>
      </c>
      <c r="K454" s="2" t="s">
        <v>1380</v>
      </c>
      <c r="L454" s="2" t="s">
        <v>42</v>
      </c>
      <c r="M454" s="2" t="str">
        <f>VLOOKUP(F454,Departments!$A$1:$C$6,2,0)</f>
        <v>Finance</v>
      </c>
      <c r="N454" s="2" t="str">
        <f>INDEX(Departments!$B$1:$B$6, MATCH(Employees!F454, Departments!$A$1:$A$6, 0))</f>
        <v>Finance</v>
      </c>
      <c r="O454" s="3" t="str">
        <f>INDEX(Departments!$B$2:$B$6,MATCH(Employees!F454,Departments!$A$2:$A$6,0))</f>
        <v>Finance</v>
      </c>
      <c r="P454" s="3">
        <f>INDEX(Performance!$C$2:$C$501,MATCH(Employees!A454,Performance!$A$2:$A$501,0))</f>
        <v>4</v>
      </c>
      <c r="Q454" s="4">
        <f t="shared" si="7"/>
        <v>3558.9</v>
      </c>
    </row>
    <row r="455" spans="1:17" hidden="1" x14ac:dyDescent="0.25">
      <c r="A455" s="2" t="s">
        <v>1381</v>
      </c>
      <c r="B455" s="2" t="s">
        <v>36</v>
      </c>
      <c r="C455" s="2" t="s">
        <v>96</v>
      </c>
      <c r="D455" s="2" t="s">
        <v>29</v>
      </c>
      <c r="E455" s="2">
        <v>35</v>
      </c>
      <c r="F455" s="2" t="s">
        <v>45</v>
      </c>
      <c r="G455" s="2" t="s">
        <v>46</v>
      </c>
      <c r="H455" s="2" t="s">
        <v>1382</v>
      </c>
      <c r="I455" s="2">
        <v>79751</v>
      </c>
      <c r="J455" s="2" t="s">
        <v>24</v>
      </c>
      <c r="K455" s="2" t="s">
        <v>1383</v>
      </c>
      <c r="L455" s="2" t="s">
        <v>26</v>
      </c>
      <c r="M455" s="2" t="str">
        <f>VLOOKUP(F455,Departments!$A$1:$C$6,2,0)</f>
        <v>Marketing</v>
      </c>
      <c r="N455" s="2" t="str">
        <f>INDEX(Departments!$B$1:$B$6, MATCH(Employees!F455, Departments!$A$1:$A$6, 0))</f>
        <v>Marketing</v>
      </c>
      <c r="O455" s="3" t="str">
        <f>INDEX(Departments!$B$2:$B$6,MATCH(Employees!F455,Departments!$A$2:$A$6,0))</f>
        <v>Marketing</v>
      </c>
      <c r="P455" s="3">
        <f>INDEX(Performance!$C$2:$C$501,MATCH(Employees!A455,Performance!$A$2:$A$501,0))</f>
        <v>2</v>
      </c>
      <c r="Q455" s="4">
        <f t="shared" si="7"/>
        <v>3987.55</v>
      </c>
    </row>
    <row r="456" spans="1:17" hidden="1" x14ac:dyDescent="0.25">
      <c r="A456" s="2" t="s">
        <v>1384</v>
      </c>
      <c r="B456" s="2" t="s">
        <v>149</v>
      </c>
      <c r="C456" s="2" t="s">
        <v>19</v>
      </c>
      <c r="D456" s="2" t="s">
        <v>29</v>
      </c>
      <c r="E456" s="2">
        <v>53</v>
      </c>
      <c r="F456" s="2" t="s">
        <v>30</v>
      </c>
      <c r="G456" s="2" t="s">
        <v>114</v>
      </c>
      <c r="H456" s="2" t="s">
        <v>1385</v>
      </c>
      <c r="I456" s="2">
        <v>67994</v>
      </c>
      <c r="J456" s="2" t="s">
        <v>40</v>
      </c>
      <c r="K456" s="2" t="s">
        <v>1386</v>
      </c>
      <c r="L456" s="2" t="s">
        <v>26</v>
      </c>
      <c r="M456" s="2" t="str">
        <f>VLOOKUP(F456,Departments!$A$1:$C$6,2,0)</f>
        <v>IT</v>
      </c>
      <c r="N456" s="2" t="str">
        <f>INDEX(Departments!$B$1:$B$6, MATCH(Employees!F456, Departments!$A$1:$A$6, 0))</f>
        <v>IT</v>
      </c>
      <c r="O456" s="3" t="str">
        <f>INDEX(Departments!$B$2:$B$6,MATCH(Employees!F456,Departments!$A$2:$A$6,0))</f>
        <v>IT</v>
      </c>
      <c r="P456" s="3">
        <f>INDEX(Performance!$C$2:$C$501,MATCH(Employees!A456,Performance!$A$2:$A$501,0))</f>
        <v>3</v>
      </c>
      <c r="Q456" s="4">
        <f t="shared" si="7"/>
        <v>4759.5800000000008</v>
      </c>
    </row>
    <row r="457" spans="1:17" hidden="1" x14ac:dyDescent="0.25">
      <c r="A457" s="2" t="s">
        <v>1387</v>
      </c>
      <c r="B457" s="2" t="s">
        <v>149</v>
      </c>
      <c r="C457" s="2" t="s">
        <v>84</v>
      </c>
      <c r="D457" s="2" t="s">
        <v>29</v>
      </c>
      <c r="E457" s="2">
        <v>28</v>
      </c>
      <c r="F457" s="2" t="s">
        <v>45</v>
      </c>
      <c r="G457" s="2" t="s">
        <v>31</v>
      </c>
      <c r="H457" s="2" t="s">
        <v>1388</v>
      </c>
      <c r="I457" s="2">
        <v>51178</v>
      </c>
      <c r="J457" s="2" t="s">
        <v>24</v>
      </c>
      <c r="K457" s="2" t="s">
        <v>1389</v>
      </c>
      <c r="L457" s="2" t="s">
        <v>26</v>
      </c>
      <c r="M457" s="2" t="str">
        <f>VLOOKUP(F457,Departments!$A$1:$C$6,2,0)</f>
        <v>Marketing</v>
      </c>
      <c r="N457" s="2" t="str">
        <f>INDEX(Departments!$B$1:$B$6, MATCH(Employees!F457, Departments!$A$1:$A$6, 0))</f>
        <v>Marketing</v>
      </c>
      <c r="O457" s="3" t="str">
        <f>INDEX(Departments!$B$2:$B$6,MATCH(Employees!F457,Departments!$A$2:$A$6,0))</f>
        <v>Marketing</v>
      </c>
      <c r="P457" s="3">
        <f>INDEX(Performance!$C$2:$C$501,MATCH(Employees!A457,Performance!$A$2:$A$501,0))</f>
        <v>4</v>
      </c>
      <c r="Q457" s="4">
        <f t="shared" si="7"/>
        <v>5117.8</v>
      </c>
    </row>
    <row r="458" spans="1:17" hidden="1" x14ac:dyDescent="0.25">
      <c r="A458" s="2" t="s">
        <v>1390</v>
      </c>
      <c r="B458" s="2" t="s">
        <v>50</v>
      </c>
      <c r="C458" s="2" t="s">
        <v>171</v>
      </c>
      <c r="D458" s="2" t="s">
        <v>20</v>
      </c>
      <c r="E458" s="2">
        <v>29</v>
      </c>
      <c r="F458" s="2" t="s">
        <v>21</v>
      </c>
      <c r="G458" s="2" t="s">
        <v>114</v>
      </c>
      <c r="H458" s="2" t="s">
        <v>1391</v>
      </c>
      <c r="I458" s="2">
        <v>40759</v>
      </c>
      <c r="J458" s="2" t="s">
        <v>71</v>
      </c>
      <c r="K458" s="2" t="s">
        <v>1392</v>
      </c>
      <c r="L458" s="2" t="s">
        <v>26</v>
      </c>
      <c r="M458" s="2" t="str">
        <f>VLOOKUP(F458,Departments!$A$1:$C$6,2,0)</f>
        <v>HR</v>
      </c>
      <c r="N458" s="2" t="str">
        <f>INDEX(Departments!$B$1:$B$6, MATCH(Employees!F458, Departments!$A$1:$A$6, 0))</f>
        <v>HR</v>
      </c>
      <c r="O458" s="3" t="str">
        <f>INDEX(Departments!$B$2:$B$6,MATCH(Employees!F458,Departments!$A$2:$A$6,0))</f>
        <v>HR</v>
      </c>
      <c r="P458" s="3">
        <f>INDEX(Performance!$C$2:$C$501,MATCH(Employees!A458,Performance!$A$2:$A$501,0))</f>
        <v>1</v>
      </c>
      <c r="Q458" s="4">
        <f t="shared" si="7"/>
        <v>2037.95</v>
      </c>
    </row>
    <row r="459" spans="1:17" hidden="1" x14ac:dyDescent="0.25">
      <c r="A459" s="2" t="s">
        <v>1393</v>
      </c>
      <c r="B459" s="2" t="s">
        <v>44</v>
      </c>
      <c r="C459" s="2" t="s">
        <v>84</v>
      </c>
      <c r="D459" s="2" t="s">
        <v>20</v>
      </c>
      <c r="E459" s="2">
        <v>32</v>
      </c>
      <c r="F459" s="2" t="s">
        <v>21</v>
      </c>
      <c r="G459" s="2" t="s">
        <v>31</v>
      </c>
      <c r="H459" s="2" t="s">
        <v>1394</v>
      </c>
      <c r="I459" s="2">
        <v>98394</v>
      </c>
      <c r="J459" s="2" t="s">
        <v>24</v>
      </c>
      <c r="K459" s="2" t="s">
        <v>1395</v>
      </c>
      <c r="L459" s="2" t="s">
        <v>42</v>
      </c>
      <c r="M459" s="2" t="str">
        <f>VLOOKUP(F459,Departments!$A$1:$C$6,2,0)</f>
        <v>HR</v>
      </c>
      <c r="N459" s="2" t="str">
        <f>INDEX(Departments!$B$1:$B$6, MATCH(Employees!F459, Departments!$A$1:$A$6, 0))</f>
        <v>HR</v>
      </c>
      <c r="O459" s="3" t="str">
        <f>INDEX(Departments!$B$2:$B$6,MATCH(Employees!F459,Departments!$A$2:$A$6,0))</f>
        <v>HR</v>
      </c>
      <c r="P459" s="3">
        <f>INDEX(Performance!$C$2:$C$501,MATCH(Employees!A459,Performance!$A$2:$A$501,0))</f>
        <v>4</v>
      </c>
      <c r="Q459" s="4">
        <f t="shared" si="7"/>
        <v>9839.4000000000015</v>
      </c>
    </row>
    <row r="460" spans="1:17" hidden="1" x14ac:dyDescent="0.25">
      <c r="A460" s="2" t="s">
        <v>1396</v>
      </c>
      <c r="B460" s="2" t="s">
        <v>60</v>
      </c>
      <c r="C460" s="2" t="s">
        <v>19</v>
      </c>
      <c r="D460" s="2" t="s">
        <v>20</v>
      </c>
      <c r="E460" s="2">
        <v>37</v>
      </c>
      <c r="F460" s="2" t="s">
        <v>56</v>
      </c>
      <c r="G460" s="2" t="s">
        <v>38</v>
      </c>
      <c r="H460" s="2" t="s">
        <v>1397</v>
      </c>
      <c r="I460" s="2">
        <v>90148</v>
      </c>
      <c r="J460" s="2" t="s">
        <v>71</v>
      </c>
      <c r="K460" s="2" t="s">
        <v>1398</v>
      </c>
      <c r="L460" s="2" t="s">
        <v>26</v>
      </c>
      <c r="M460" s="2" t="str">
        <f>VLOOKUP(F460,Departments!$A$1:$C$6,2,0)</f>
        <v>Finance</v>
      </c>
      <c r="N460" s="2" t="str">
        <f>INDEX(Departments!$B$1:$B$6, MATCH(Employees!F460, Departments!$A$1:$A$6, 0))</f>
        <v>Finance</v>
      </c>
      <c r="O460" s="3" t="str">
        <f>INDEX(Departments!$B$2:$B$6,MATCH(Employees!F460,Departments!$A$2:$A$6,0))</f>
        <v>Finance</v>
      </c>
      <c r="P460" s="3">
        <f>INDEX(Performance!$C$2:$C$501,MATCH(Employees!A460,Performance!$A$2:$A$501,0))</f>
        <v>3</v>
      </c>
      <c r="Q460" s="4">
        <f t="shared" si="7"/>
        <v>6310.3600000000006</v>
      </c>
    </row>
    <row r="461" spans="1:17" hidden="1" x14ac:dyDescent="0.25">
      <c r="A461" s="2" t="s">
        <v>1399</v>
      </c>
      <c r="B461" s="2" t="s">
        <v>36</v>
      </c>
      <c r="C461" s="2" t="s">
        <v>51</v>
      </c>
      <c r="D461" s="2" t="s">
        <v>29</v>
      </c>
      <c r="E461" s="2">
        <v>32</v>
      </c>
      <c r="F461" s="2" t="s">
        <v>37</v>
      </c>
      <c r="G461" s="2" t="s">
        <v>22</v>
      </c>
      <c r="H461" s="2" t="s">
        <v>466</v>
      </c>
      <c r="I461" s="2">
        <v>63176</v>
      </c>
      <c r="J461" s="2" t="s">
        <v>40</v>
      </c>
      <c r="K461" s="2" t="s">
        <v>1400</v>
      </c>
      <c r="L461" s="2" t="s">
        <v>26</v>
      </c>
      <c r="M461" s="2" t="str">
        <f>VLOOKUP(F461,Departments!$A$1:$C$6,2,0)</f>
        <v>Sales</v>
      </c>
      <c r="N461" s="2" t="str">
        <f>INDEX(Departments!$B$1:$B$6, MATCH(Employees!F461, Departments!$A$1:$A$6, 0))</f>
        <v>Sales</v>
      </c>
      <c r="O461" s="3" t="str">
        <f>INDEX(Departments!$B$2:$B$6,MATCH(Employees!F461,Departments!$A$2:$A$6,0))</f>
        <v>Sales</v>
      </c>
      <c r="P461" s="3">
        <f>INDEX(Performance!$C$2:$C$501,MATCH(Employees!A461,Performance!$A$2:$A$501,0))</f>
        <v>1</v>
      </c>
      <c r="Q461" s="4">
        <f t="shared" si="7"/>
        <v>3158.8</v>
      </c>
    </row>
    <row r="462" spans="1:17" hidden="1" x14ac:dyDescent="0.25">
      <c r="A462" s="2" t="s">
        <v>1401</v>
      </c>
      <c r="B462" s="2" t="s">
        <v>100</v>
      </c>
      <c r="C462" s="2" t="s">
        <v>96</v>
      </c>
      <c r="D462" s="2" t="s">
        <v>29</v>
      </c>
      <c r="E462" s="2">
        <v>55</v>
      </c>
      <c r="F462" s="2" t="s">
        <v>30</v>
      </c>
      <c r="G462" s="2" t="s">
        <v>31</v>
      </c>
      <c r="H462" s="2" t="s">
        <v>1402</v>
      </c>
      <c r="I462" s="2">
        <v>86434</v>
      </c>
      <c r="J462" s="2" t="s">
        <v>71</v>
      </c>
      <c r="K462" s="2" t="s">
        <v>1403</v>
      </c>
      <c r="L462" s="2" t="s">
        <v>42</v>
      </c>
      <c r="M462" s="2" t="str">
        <f>VLOOKUP(F462,Departments!$A$1:$C$6,2,0)</f>
        <v>IT</v>
      </c>
      <c r="N462" s="2" t="str">
        <f>INDEX(Departments!$B$1:$B$6, MATCH(Employees!F462, Departments!$A$1:$A$6, 0))</f>
        <v>IT</v>
      </c>
      <c r="O462" s="3" t="str">
        <f>INDEX(Departments!$B$2:$B$6,MATCH(Employees!F462,Departments!$A$2:$A$6,0))</f>
        <v>IT</v>
      </c>
      <c r="P462" s="3">
        <f>INDEX(Performance!$C$2:$C$501,MATCH(Employees!A462,Performance!$A$2:$A$501,0))</f>
        <v>2</v>
      </c>
      <c r="Q462" s="4">
        <f t="shared" si="7"/>
        <v>4321.7</v>
      </c>
    </row>
    <row r="463" spans="1:17" hidden="1" x14ac:dyDescent="0.25">
      <c r="A463" s="2" t="s">
        <v>1404</v>
      </c>
      <c r="B463" s="2" t="s">
        <v>149</v>
      </c>
      <c r="C463" s="2" t="s">
        <v>96</v>
      </c>
      <c r="D463" s="2" t="s">
        <v>20</v>
      </c>
      <c r="E463" s="2">
        <v>42</v>
      </c>
      <c r="F463" s="2" t="s">
        <v>45</v>
      </c>
      <c r="G463" s="2" t="s">
        <v>22</v>
      </c>
      <c r="H463" s="2" t="s">
        <v>1405</v>
      </c>
      <c r="I463" s="2">
        <v>70836</v>
      </c>
      <c r="J463" s="2" t="s">
        <v>71</v>
      </c>
      <c r="K463" s="2" t="s">
        <v>1406</v>
      </c>
      <c r="L463" s="2" t="s">
        <v>42</v>
      </c>
      <c r="M463" s="2" t="str">
        <f>VLOOKUP(F463,Departments!$A$1:$C$6,2,0)</f>
        <v>Marketing</v>
      </c>
      <c r="N463" s="2" t="str">
        <f>INDEX(Departments!$B$1:$B$6, MATCH(Employees!F463, Departments!$A$1:$A$6, 0))</f>
        <v>Marketing</v>
      </c>
      <c r="O463" s="3" t="str">
        <f>INDEX(Departments!$B$2:$B$6,MATCH(Employees!F463,Departments!$A$2:$A$6,0))</f>
        <v>Marketing</v>
      </c>
      <c r="P463" s="3">
        <f>INDEX(Performance!$C$2:$C$501,MATCH(Employees!A463,Performance!$A$2:$A$501,0))</f>
        <v>2</v>
      </c>
      <c r="Q463" s="4">
        <f t="shared" si="7"/>
        <v>3541.8</v>
      </c>
    </row>
    <row r="464" spans="1:17" hidden="1" x14ac:dyDescent="0.25">
      <c r="A464" s="2" t="s">
        <v>1407</v>
      </c>
      <c r="B464" s="2" t="s">
        <v>44</v>
      </c>
      <c r="C464" s="2" t="s">
        <v>101</v>
      </c>
      <c r="D464" s="2" t="s">
        <v>29</v>
      </c>
      <c r="E464" s="2">
        <v>49</v>
      </c>
      <c r="F464" s="2" t="s">
        <v>37</v>
      </c>
      <c r="G464" s="2" t="s">
        <v>38</v>
      </c>
      <c r="H464" s="2" t="s">
        <v>1408</v>
      </c>
      <c r="I464" s="2">
        <v>40805</v>
      </c>
      <c r="J464" s="2" t="s">
        <v>24</v>
      </c>
      <c r="K464" s="2" t="s">
        <v>1409</v>
      </c>
      <c r="L464" s="2" t="s">
        <v>26</v>
      </c>
      <c r="M464" s="2" t="str">
        <f>VLOOKUP(F464,Departments!$A$1:$C$6,2,0)</f>
        <v>Sales</v>
      </c>
      <c r="N464" s="2" t="str">
        <f>INDEX(Departments!$B$1:$B$6, MATCH(Employees!F464, Departments!$A$1:$A$6, 0))</f>
        <v>Sales</v>
      </c>
      <c r="O464" s="3" t="str">
        <f>INDEX(Departments!$B$2:$B$6,MATCH(Employees!F464,Departments!$A$2:$A$6,0))</f>
        <v>Sales</v>
      </c>
      <c r="P464" s="3">
        <f>INDEX(Performance!$C$2:$C$501,MATCH(Employees!A464,Performance!$A$2:$A$501,0))</f>
        <v>1</v>
      </c>
      <c r="Q464" s="4">
        <f t="shared" si="7"/>
        <v>2040.25</v>
      </c>
    </row>
    <row r="465" spans="1:17" hidden="1" x14ac:dyDescent="0.25">
      <c r="A465" s="2" t="s">
        <v>1410</v>
      </c>
      <c r="B465" s="2" t="s">
        <v>50</v>
      </c>
      <c r="C465" s="2" t="s">
        <v>171</v>
      </c>
      <c r="D465" s="2" t="s">
        <v>29</v>
      </c>
      <c r="E465" s="2">
        <v>23</v>
      </c>
      <c r="F465" s="2" t="s">
        <v>21</v>
      </c>
      <c r="G465" s="2" t="s">
        <v>46</v>
      </c>
      <c r="H465" s="2" t="s">
        <v>1411</v>
      </c>
      <c r="I465" s="2">
        <v>117635</v>
      </c>
      <c r="J465" s="2" t="s">
        <v>40</v>
      </c>
      <c r="K465" s="2" t="s">
        <v>1412</v>
      </c>
      <c r="L465" s="2" t="s">
        <v>26</v>
      </c>
      <c r="M465" s="2" t="str">
        <f>VLOOKUP(F465,Departments!$A$1:$C$6,2,0)</f>
        <v>HR</v>
      </c>
      <c r="N465" s="2" t="str">
        <f>INDEX(Departments!$B$1:$B$6, MATCH(Employees!F465, Departments!$A$1:$A$6, 0))</f>
        <v>HR</v>
      </c>
      <c r="O465" s="3" t="str">
        <f>INDEX(Departments!$B$2:$B$6,MATCH(Employees!F465,Departments!$A$2:$A$6,0))</f>
        <v>HR</v>
      </c>
      <c r="P465" s="3">
        <f>INDEX(Performance!$C$2:$C$501,MATCH(Employees!A465,Performance!$A$2:$A$501,0))</f>
        <v>4</v>
      </c>
      <c r="Q465" s="4">
        <f t="shared" si="7"/>
        <v>11763.5</v>
      </c>
    </row>
    <row r="466" spans="1:17" hidden="1" x14ac:dyDescent="0.25">
      <c r="A466" s="2" t="s">
        <v>1413</v>
      </c>
      <c r="B466" s="2" t="s">
        <v>18</v>
      </c>
      <c r="C466" s="2" t="s">
        <v>89</v>
      </c>
      <c r="D466" s="2" t="s">
        <v>29</v>
      </c>
      <c r="E466" s="2">
        <v>45</v>
      </c>
      <c r="F466" s="2" t="s">
        <v>56</v>
      </c>
      <c r="G466" s="2" t="s">
        <v>46</v>
      </c>
      <c r="H466" s="2" t="s">
        <v>1414</v>
      </c>
      <c r="I466" s="2">
        <v>100678</v>
      </c>
      <c r="J466" s="2" t="s">
        <v>24</v>
      </c>
      <c r="K466" s="2" t="s">
        <v>1415</v>
      </c>
      <c r="L466" s="2" t="s">
        <v>42</v>
      </c>
      <c r="M466" s="2" t="str">
        <f>VLOOKUP(F466,Departments!$A$1:$C$6,2,0)</f>
        <v>Finance</v>
      </c>
      <c r="N466" s="2" t="str">
        <f>INDEX(Departments!$B$1:$B$6, MATCH(Employees!F466, Departments!$A$1:$A$6, 0))</f>
        <v>Finance</v>
      </c>
      <c r="O466" s="3" t="str">
        <f>INDEX(Departments!$B$2:$B$6,MATCH(Employees!F466,Departments!$A$2:$A$6,0))</f>
        <v>Finance</v>
      </c>
      <c r="P466" s="3">
        <f>INDEX(Performance!$C$2:$C$501,MATCH(Employees!A466,Performance!$A$2:$A$501,0))</f>
        <v>3</v>
      </c>
      <c r="Q466" s="4">
        <f t="shared" si="7"/>
        <v>7047.4600000000009</v>
      </c>
    </row>
    <row r="467" spans="1:17" hidden="1" x14ac:dyDescent="0.25">
      <c r="A467" s="2" t="s">
        <v>1416</v>
      </c>
      <c r="B467" s="2" t="s">
        <v>36</v>
      </c>
      <c r="C467" s="2" t="s">
        <v>101</v>
      </c>
      <c r="D467" s="2" t="s">
        <v>29</v>
      </c>
      <c r="E467" s="2">
        <v>39</v>
      </c>
      <c r="F467" s="2" t="s">
        <v>21</v>
      </c>
      <c r="G467" s="2" t="s">
        <v>114</v>
      </c>
      <c r="H467" s="2" t="s">
        <v>1417</v>
      </c>
      <c r="I467" s="2">
        <v>76443</v>
      </c>
      <c r="J467" s="2" t="s">
        <v>71</v>
      </c>
      <c r="K467" s="2" t="s">
        <v>1418</v>
      </c>
      <c r="L467" s="2" t="s">
        <v>42</v>
      </c>
      <c r="M467" s="2" t="str">
        <f>VLOOKUP(F467,Departments!$A$1:$C$6,2,0)</f>
        <v>HR</v>
      </c>
      <c r="N467" s="2" t="str">
        <f>INDEX(Departments!$B$1:$B$6, MATCH(Employees!F467, Departments!$A$1:$A$6, 0))</f>
        <v>HR</v>
      </c>
      <c r="O467" s="3" t="str">
        <f>INDEX(Departments!$B$2:$B$6,MATCH(Employees!F467,Departments!$A$2:$A$6,0))</f>
        <v>HR</v>
      </c>
      <c r="P467" s="3">
        <f>INDEX(Performance!$C$2:$C$501,MATCH(Employees!A467,Performance!$A$2:$A$501,0))</f>
        <v>1</v>
      </c>
      <c r="Q467" s="4">
        <f t="shared" si="7"/>
        <v>3822.15</v>
      </c>
    </row>
    <row r="468" spans="1:17" hidden="1" x14ac:dyDescent="0.25">
      <c r="A468" s="2" t="s">
        <v>1419</v>
      </c>
      <c r="B468" s="2" t="s">
        <v>36</v>
      </c>
      <c r="C468" s="2" t="s">
        <v>96</v>
      </c>
      <c r="D468" s="2" t="s">
        <v>29</v>
      </c>
      <c r="E468" s="2">
        <v>44</v>
      </c>
      <c r="F468" s="2" t="s">
        <v>56</v>
      </c>
      <c r="G468" s="2" t="s">
        <v>31</v>
      </c>
      <c r="H468" s="2" t="s">
        <v>1420</v>
      </c>
      <c r="I468" s="2">
        <v>98210</v>
      </c>
      <c r="J468" s="2" t="s">
        <v>40</v>
      </c>
      <c r="K468" s="2" t="s">
        <v>1421</v>
      </c>
      <c r="L468" s="2" t="s">
        <v>26</v>
      </c>
      <c r="M468" s="2" t="str">
        <f>VLOOKUP(F468,Departments!$A$1:$C$6,2,0)</f>
        <v>Finance</v>
      </c>
      <c r="N468" s="2" t="str">
        <f>INDEX(Departments!$B$1:$B$6, MATCH(Employees!F468, Departments!$A$1:$A$6, 0))</f>
        <v>Finance</v>
      </c>
      <c r="O468" s="3" t="str">
        <f>INDEX(Departments!$B$2:$B$6,MATCH(Employees!F468,Departments!$A$2:$A$6,0))</f>
        <v>Finance</v>
      </c>
      <c r="P468" s="3">
        <f>INDEX(Performance!$C$2:$C$501,MATCH(Employees!A468,Performance!$A$2:$A$501,0))</f>
        <v>2</v>
      </c>
      <c r="Q468" s="4">
        <f t="shared" si="7"/>
        <v>4910.5</v>
      </c>
    </row>
    <row r="469" spans="1:17" hidden="1" x14ac:dyDescent="0.25">
      <c r="A469" s="2" t="s">
        <v>1422</v>
      </c>
      <c r="B469" s="2" t="s">
        <v>36</v>
      </c>
      <c r="C469" s="2" t="s">
        <v>89</v>
      </c>
      <c r="D469" s="2" t="s">
        <v>29</v>
      </c>
      <c r="E469" s="2">
        <v>60</v>
      </c>
      <c r="F469" s="2" t="s">
        <v>21</v>
      </c>
      <c r="G469" s="2" t="s">
        <v>46</v>
      </c>
      <c r="H469" s="2" t="s">
        <v>1423</v>
      </c>
      <c r="I469" s="2">
        <v>83719</v>
      </c>
      <c r="J469" s="2" t="s">
        <v>40</v>
      </c>
      <c r="K469" s="2" t="s">
        <v>1424</v>
      </c>
      <c r="L469" s="2" t="s">
        <v>42</v>
      </c>
      <c r="M469" s="2" t="str">
        <f>VLOOKUP(F469,Departments!$A$1:$C$6,2,0)</f>
        <v>HR</v>
      </c>
      <c r="N469" s="2" t="str">
        <f>INDEX(Departments!$B$1:$B$6, MATCH(Employees!F469, Departments!$A$1:$A$6, 0))</f>
        <v>HR</v>
      </c>
      <c r="O469" s="3" t="str">
        <f>INDEX(Departments!$B$2:$B$6,MATCH(Employees!F469,Departments!$A$2:$A$6,0))</f>
        <v>HR</v>
      </c>
      <c r="P469" s="3">
        <f>INDEX(Performance!$C$2:$C$501,MATCH(Employees!A469,Performance!$A$2:$A$501,0))</f>
        <v>2</v>
      </c>
      <c r="Q469" s="4">
        <f t="shared" si="7"/>
        <v>4185.95</v>
      </c>
    </row>
    <row r="470" spans="1:17" hidden="1" x14ac:dyDescent="0.25">
      <c r="A470" s="2" t="s">
        <v>1425</v>
      </c>
      <c r="B470" s="2" t="s">
        <v>55</v>
      </c>
      <c r="C470" s="2" t="s">
        <v>19</v>
      </c>
      <c r="D470" s="2" t="s">
        <v>29</v>
      </c>
      <c r="E470" s="2">
        <v>53</v>
      </c>
      <c r="F470" s="2" t="s">
        <v>30</v>
      </c>
      <c r="G470" s="2" t="s">
        <v>31</v>
      </c>
      <c r="H470" s="2" t="s">
        <v>1426</v>
      </c>
      <c r="I470" s="2">
        <v>50965</v>
      </c>
      <c r="J470" s="2" t="s">
        <v>66</v>
      </c>
      <c r="K470" s="2" t="s">
        <v>1427</v>
      </c>
      <c r="L470" s="2" t="s">
        <v>26</v>
      </c>
      <c r="M470" s="2" t="str">
        <f>VLOOKUP(F470,Departments!$A$1:$C$6,2,0)</f>
        <v>IT</v>
      </c>
      <c r="N470" s="2" t="str">
        <f>INDEX(Departments!$B$1:$B$6, MATCH(Employees!F470, Departments!$A$1:$A$6, 0))</f>
        <v>IT</v>
      </c>
      <c r="O470" s="3" t="str">
        <f>INDEX(Departments!$B$2:$B$6,MATCH(Employees!F470,Departments!$A$2:$A$6,0))</f>
        <v>IT</v>
      </c>
      <c r="P470" s="3">
        <f>INDEX(Performance!$C$2:$C$501,MATCH(Employees!A470,Performance!$A$2:$A$501,0))</f>
        <v>4</v>
      </c>
      <c r="Q470" s="4">
        <f t="shared" si="7"/>
        <v>5096.5</v>
      </c>
    </row>
    <row r="471" spans="1:17" hidden="1" x14ac:dyDescent="0.25">
      <c r="A471" s="2" t="s">
        <v>1428</v>
      </c>
      <c r="B471" s="2" t="s">
        <v>100</v>
      </c>
      <c r="C471" s="2" t="s">
        <v>69</v>
      </c>
      <c r="D471" s="2" t="s">
        <v>29</v>
      </c>
      <c r="E471" s="2">
        <v>60</v>
      </c>
      <c r="F471" s="2" t="s">
        <v>56</v>
      </c>
      <c r="G471" s="2" t="s">
        <v>31</v>
      </c>
      <c r="H471" s="2" t="s">
        <v>1429</v>
      </c>
      <c r="I471" s="2">
        <v>113605</v>
      </c>
      <c r="J471" s="2" t="s">
        <v>66</v>
      </c>
      <c r="K471" s="2" t="s">
        <v>1430</v>
      </c>
      <c r="L471" s="2" t="s">
        <v>26</v>
      </c>
      <c r="M471" s="2" t="str">
        <f>VLOOKUP(F471,Departments!$A$1:$C$6,2,0)</f>
        <v>Finance</v>
      </c>
      <c r="N471" s="2" t="str">
        <f>INDEX(Departments!$B$1:$B$6, MATCH(Employees!F471, Departments!$A$1:$A$6, 0))</f>
        <v>Finance</v>
      </c>
      <c r="O471" s="3" t="str">
        <f>INDEX(Departments!$B$2:$B$6,MATCH(Employees!F471,Departments!$A$2:$A$6,0))</f>
        <v>Finance</v>
      </c>
      <c r="P471" s="3">
        <f>INDEX(Performance!$C$2:$C$501,MATCH(Employees!A471,Performance!$A$2:$A$501,0))</f>
        <v>1</v>
      </c>
      <c r="Q471" s="4">
        <f t="shared" si="7"/>
        <v>5680.25</v>
      </c>
    </row>
    <row r="472" spans="1:17" hidden="1" x14ac:dyDescent="0.25">
      <c r="A472" s="2" t="s">
        <v>1431</v>
      </c>
      <c r="B472" s="2" t="s">
        <v>64</v>
      </c>
      <c r="C472" s="2" t="s">
        <v>84</v>
      </c>
      <c r="D472" s="2" t="s">
        <v>20</v>
      </c>
      <c r="E472" s="2">
        <v>57</v>
      </c>
      <c r="F472" s="2" t="s">
        <v>45</v>
      </c>
      <c r="G472" s="2" t="s">
        <v>46</v>
      </c>
      <c r="H472" s="2" t="s">
        <v>329</v>
      </c>
      <c r="I472" s="2">
        <v>80135</v>
      </c>
      <c r="J472" s="2" t="s">
        <v>40</v>
      </c>
      <c r="K472" s="2" t="s">
        <v>1432</v>
      </c>
      <c r="L472" s="2" t="s">
        <v>26</v>
      </c>
      <c r="M472" s="2" t="str">
        <f>VLOOKUP(F472,Departments!$A$1:$C$6,2,0)</f>
        <v>Marketing</v>
      </c>
      <c r="N472" s="2" t="str">
        <f>INDEX(Departments!$B$1:$B$6, MATCH(Employees!F472, Departments!$A$1:$A$6, 0))</f>
        <v>Marketing</v>
      </c>
      <c r="O472" s="3" t="str">
        <f>INDEX(Departments!$B$2:$B$6,MATCH(Employees!F472,Departments!$A$2:$A$6,0))</f>
        <v>Marketing</v>
      </c>
      <c r="P472" s="3">
        <f>INDEX(Performance!$C$2:$C$501,MATCH(Employees!A472,Performance!$A$2:$A$501,0))</f>
        <v>4</v>
      </c>
      <c r="Q472" s="4">
        <f t="shared" si="7"/>
        <v>8013.5</v>
      </c>
    </row>
    <row r="473" spans="1:17" hidden="1" x14ac:dyDescent="0.25">
      <c r="A473" s="2" t="s">
        <v>1433</v>
      </c>
      <c r="B473" s="2" t="s">
        <v>77</v>
      </c>
      <c r="C473" s="2" t="s">
        <v>28</v>
      </c>
      <c r="D473" s="2" t="s">
        <v>29</v>
      </c>
      <c r="E473" s="2">
        <v>53</v>
      </c>
      <c r="F473" s="2" t="s">
        <v>56</v>
      </c>
      <c r="G473" s="2" t="s">
        <v>114</v>
      </c>
      <c r="H473" s="2" t="s">
        <v>1434</v>
      </c>
      <c r="I473" s="2">
        <v>56690</v>
      </c>
      <c r="J473" s="2" t="s">
        <v>66</v>
      </c>
      <c r="K473" s="2" t="s">
        <v>1435</v>
      </c>
      <c r="L473" s="2" t="s">
        <v>26</v>
      </c>
      <c r="M473" s="2" t="str">
        <f>VLOOKUP(F473,Departments!$A$1:$C$6,2,0)</f>
        <v>Finance</v>
      </c>
      <c r="N473" s="2" t="str">
        <f>INDEX(Departments!$B$1:$B$6, MATCH(Employees!F473, Departments!$A$1:$A$6, 0))</f>
        <v>Finance</v>
      </c>
      <c r="O473" s="3" t="str">
        <f>INDEX(Departments!$B$2:$B$6,MATCH(Employees!F473,Departments!$A$2:$A$6,0))</f>
        <v>Finance</v>
      </c>
      <c r="P473" s="3">
        <f>INDEX(Performance!$C$2:$C$501,MATCH(Employees!A473,Performance!$A$2:$A$501,0))</f>
        <v>4</v>
      </c>
      <c r="Q473" s="4">
        <f t="shared" si="7"/>
        <v>5669</v>
      </c>
    </row>
    <row r="474" spans="1:17" hidden="1" x14ac:dyDescent="0.25">
      <c r="A474" s="2" t="s">
        <v>1436</v>
      </c>
      <c r="B474" s="2" t="s">
        <v>55</v>
      </c>
      <c r="C474" s="2" t="s">
        <v>51</v>
      </c>
      <c r="D474" s="2" t="s">
        <v>29</v>
      </c>
      <c r="E474" s="2">
        <v>30</v>
      </c>
      <c r="F474" s="2" t="s">
        <v>56</v>
      </c>
      <c r="G474" s="2" t="s">
        <v>38</v>
      </c>
      <c r="H474" s="2" t="s">
        <v>249</v>
      </c>
      <c r="I474" s="2">
        <v>40070</v>
      </c>
      <c r="J474" s="2" t="s">
        <v>86</v>
      </c>
      <c r="K474" s="2" t="s">
        <v>1437</v>
      </c>
      <c r="L474" s="2" t="s">
        <v>26</v>
      </c>
      <c r="M474" s="2" t="str">
        <f>VLOOKUP(F474,Departments!$A$1:$C$6,2,0)</f>
        <v>Finance</v>
      </c>
      <c r="N474" s="2" t="str">
        <f>INDEX(Departments!$B$1:$B$6, MATCH(Employees!F474, Departments!$A$1:$A$6, 0))</f>
        <v>Finance</v>
      </c>
      <c r="O474" s="3" t="str">
        <f>INDEX(Departments!$B$2:$B$6,MATCH(Employees!F474,Departments!$A$2:$A$6,0))</f>
        <v>Finance</v>
      </c>
      <c r="P474" s="3">
        <f>INDEX(Performance!$C$2:$C$501,MATCH(Employees!A474,Performance!$A$2:$A$501,0))</f>
        <v>5</v>
      </c>
      <c r="Q474" s="4">
        <f t="shared" si="7"/>
        <v>6010.5</v>
      </c>
    </row>
    <row r="475" spans="1:17" hidden="1" x14ac:dyDescent="0.25">
      <c r="A475" s="2" t="s">
        <v>1438</v>
      </c>
      <c r="B475" s="2" t="s">
        <v>36</v>
      </c>
      <c r="C475" s="2" t="s">
        <v>171</v>
      </c>
      <c r="D475" s="2" t="s">
        <v>29</v>
      </c>
      <c r="E475" s="2">
        <v>57</v>
      </c>
      <c r="F475" s="2" t="s">
        <v>21</v>
      </c>
      <c r="G475" s="2" t="s">
        <v>46</v>
      </c>
      <c r="H475" s="2" t="s">
        <v>1439</v>
      </c>
      <c r="I475" s="2">
        <v>83252</v>
      </c>
      <c r="J475" s="2" t="s">
        <v>66</v>
      </c>
      <c r="K475" s="2" t="s">
        <v>1440</v>
      </c>
      <c r="L475" s="2" t="s">
        <v>26</v>
      </c>
      <c r="M475" s="2" t="str">
        <f>VLOOKUP(F475,Departments!$A$1:$C$6,2,0)</f>
        <v>HR</v>
      </c>
      <c r="N475" s="2" t="str">
        <f>INDEX(Departments!$B$1:$B$6, MATCH(Employees!F475, Departments!$A$1:$A$6, 0))</f>
        <v>HR</v>
      </c>
      <c r="O475" s="3" t="str">
        <f>INDEX(Departments!$B$2:$B$6,MATCH(Employees!F475,Departments!$A$2:$A$6,0))</f>
        <v>HR</v>
      </c>
      <c r="P475" s="3">
        <f>INDEX(Performance!$C$2:$C$501,MATCH(Employees!A475,Performance!$A$2:$A$501,0))</f>
        <v>4</v>
      </c>
      <c r="Q475" s="4">
        <f t="shared" si="7"/>
        <v>8325.2000000000007</v>
      </c>
    </row>
    <row r="476" spans="1:17" hidden="1" x14ac:dyDescent="0.25">
      <c r="A476" s="2" t="s">
        <v>1441</v>
      </c>
      <c r="B476" s="2" t="s">
        <v>77</v>
      </c>
      <c r="C476" s="2" t="s">
        <v>96</v>
      </c>
      <c r="D476" s="2" t="s">
        <v>29</v>
      </c>
      <c r="E476" s="2">
        <v>48</v>
      </c>
      <c r="F476" s="2" t="s">
        <v>37</v>
      </c>
      <c r="G476" s="2" t="s">
        <v>46</v>
      </c>
      <c r="H476" s="2" t="s">
        <v>1202</v>
      </c>
      <c r="I476" s="2">
        <v>66939</v>
      </c>
      <c r="J476" s="2" t="s">
        <v>24</v>
      </c>
      <c r="K476" s="2" t="s">
        <v>1442</v>
      </c>
      <c r="L476" s="2" t="s">
        <v>42</v>
      </c>
      <c r="M476" s="2" t="str">
        <f>VLOOKUP(F476,Departments!$A$1:$C$6,2,0)</f>
        <v>Sales</v>
      </c>
      <c r="N476" s="2" t="str">
        <f>INDEX(Departments!$B$1:$B$6, MATCH(Employees!F476, Departments!$A$1:$A$6, 0))</f>
        <v>Sales</v>
      </c>
      <c r="O476" s="3" t="str">
        <f>INDEX(Departments!$B$2:$B$6,MATCH(Employees!F476,Departments!$A$2:$A$6,0))</f>
        <v>Sales</v>
      </c>
      <c r="P476" s="3">
        <f>INDEX(Performance!$C$2:$C$501,MATCH(Employees!A476,Performance!$A$2:$A$501,0))</f>
        <v>4</v>
      </c>
      <c r="Q476" s="4">
        <f t="shared" si="7"/>
        <v>6693.9000000000005</v>
      </c>
    </row>
    <row r="477" spans="1:17" hidden="1" x14ac:dyDescent="0.25">
      <c r="A477" s="2" t="s">
        <v>1443</v>
      </c>
      <c r="B477" s="2" t="s">
        <v>18</v>
      </c>
      <c r="C477" s="2" t="s">
        <v>96</v>
      </c>
      <c r="D477" s="2" t="s">
        <v>29</v>
      </c>
      <c r="E477" s="2">
        <v>58</v>
      </c>
      <c r="F477" s="2" t="s">
        <v>37</v>
      </c>
      <c r="G477" s="2" t="s">
        <v>22</v>
      </c>
      <c r="H477" s="2" t="s">
        <v>1444</v>
      </c>
      <c r="I477" s="2">
        <v>51367</v>
      </c>
      <c r="J477" s="2" t="s">
        <v>71</v>
      </c>
      <c r="K477" s="2" t="s">
        <v>1445</v>
      </c>
      <c r="L477" s="2" t="s">
        <v>26</v>
      </c>
      <c r="M477" s="2" t="str">
        <f>VLOOKUP(F477,Departments!$A$1:$C$6,2,0)</f>
        <v>Sales</v>
      </c>
      <c r="N477" s="2" t="str">
        <f>INDEX(Departments!$B$1:$B$6, MATCH(Employees!F477, Departments!$A$1:$A$6, 0))</f>
        <v>Sales</v>
      </c>
      <c r="O477" s="3" t="str">
        <f>INDEX(Departments!$B$2:$B$6,MATCH(Employees!F477,Departments!$A$2:$A$6,0))</f>
        <v>Sales</v>
      </c>
      <c r="P477" s="3">
        <f>INDEX(Performance!$C$2:$C$501,MATCH(Employees!A477,Performance!$A$2:$A$501,0))</f>
        <v>5</v>
      </c>
      <c r="Q477" s="4">
        <f t="shared" si="7"/>
        <v>7705.0499999999993</v>
      </c>
    </row>
    <row r="478" spans="1:17" hidden="1" x14ac:dyDescent="0.25">
      <c r="A478" s="2" t="s">
        <v>1446</v>
      </c>
      <c r="B478" s="2" t="s">
        <v>149</v>
      </c>
      <c r="C478" s="2" t="s">
        <v>101</v>
      </c>
      <c r="D478" s="2" t="s">
        <v>20</v>
      </c>
      <c r="E478" s="2">
        <v>60</v>
      </c>
      <c r="F478" s="2" t="s">
        <v>37</v>
      </c>
      <c r="G478" s="2" t="s">
        <v>22</v>
      </c>
      <c r="H478" s="2" t="s">
        <v>1447</v>
      </c>
      <c r="I478" s="2">
        <v>94212</v>
      </c>
      <c r="J478" s="2" t="s">
        <v>40</v>
      </c>
      <c r="K478" s="2" t="s">
        <v>1448</v>
      </c>
      <c r="L478" s="2" t="s">
        <v>26</v>
      </c>
      <c r="M478" s="2" t="str">
        <f>VLOOKUP(F478,Departments!$A$1:$C$6,2,0)</f>
        <v>Sales</v>
      </c>
      <c r="N478" s="2" t="str">
        <f>INDEX(Departments!$B$1:$B$6, MATCH(Employees!F478, Departments!$A$1:$A$6, 0))</f>
        <v>Sales</v>
      </c>
      <c r="O478" s="3" t="str">
        <f>INDEX(Departments!$B$2:$B$6,MATCH(Employees!F478,Departments!$A$2:$A$6,0))</f>
        <v>Sales</v>
      </c>
      <c r="P478" s="3">
        <f>INDEX(Performance!$C$2:$C$501,MATCH(Employees!A478,Performance!$A$2:$A$501,0))</f>
        <v>3</v>
      </c>
      <c r="Q478" s="4">
        <f t="shared" si="7"/>
        <v>6594.8400000000011</v>
      </c>
    </row>
    <row r="479" spans="1:17" hidden="1" x14ac:dyDescent="0.25">
      <c r="A479" s="2" t="s">
        <v>1449</v>
      </c>
      <c r="B479" s="2" t="s">
        <v>50</v>
      </c>
      <c r="C479" s="2" t="s">
        <v>136</v>
      </c>
      <c r="D479" s="2" t="s">
        <v>29</v>
      </c>
      <c r="E479" s="2">
        <v>44</v>
      </c>
      <c r="F479" s="2" t="s">
        <v>56</v>
      </c>
      <c r="G479" s="2" t="s">
        <v>46</v>
      </c>
      <c r="H479" s="2" t="s">
        <v>1006</v>
      </c>
      <c r="I479" s="2">
        <v>47411</v>
      </c>
      <c r="J479" s="2" t="s">
        <v>66</v>
      </c>
      <c r="K479" s="2" t="s">
        <v>1450</v>
      </c>
      <c r="L479" s="2" t="s">
        <v>42</v>
      </c>
      <c r="M479" s="2" t="str">
        <f>VLOOKUP(F479,Departments!$A$1:$C$6,2,0)</f>
        <v>Finance</v>
      </c>
      <c r="N479" s="2" t="str">
        <f>INDEX(Departments!$B$1:$B$6, MATCH(Employees!F479, Departments!$A$1:$A$6, 0))</f>
        <v>Finance</v>
      </c>
      <c r="O479" s="3" t="str">
        <f>INDEX(Departments!$B$2:$B$6,MATCH(Employees!F479,Departments!$A$2:$A$6,0))</f>
        <v>Finance</v>
      </c>
      <c r="P479" s="3">
        <f>INDEX(Performance!$C$2:$C$501,MATCH(Employees!A479,Performance!$A$2:$A$501,0))</f>
        <v>3</v>
      </c>
      <c r="Q479" s="4">
        <f t="shared" si="7"/>
        <v>3318.7700000000004</v>
      </c>
    </row>
    <row r="480" spans="1:17" hidden="1" x14ac:dyDescent="0.25">
      <c r="A480" s="2" t="s">
        <v>1451</v>
      </c>
      <c r="B480" s="2" t="s">
        <v>60</v>
      </c>
      <c r="C480" s="2" t="s">
        <v>28</v>
      </c>
      <c r="D480" s="2" t="s">
        <v>20</v>
      </c>
      <c r="E480" s="2">
        <v>49</v>
      </c>
      <c r="F480" s="2" t="s">
        <v>37</v>
      </c>
      <c r="G480" s="2" t="s">
        <v>31</v>
      </c>
      <c r="H480" s="2" t="s">
        <v>1452</v>
      </c>
      <c r="I480" s="2">
        <v>67896</v>
      </c>
      <c r="J480" s="2" t="s">
        <v>40</v>
      </c>
      <c r="K480" s="2" t="s">
        <v>1453</v>
      </c>
      <c r="L480" s="2" t="s">
        <v>42</v>
      </c>
      <c r="M480" s="2" t="str">
        <f>VLOOKUP(F480,Departments!$A$1:$C$6,2,0)</f>
        <v>Sales</v>
      </c>
      <c r="N480" s="2" t="str">
        <f>INDEX(Departments!$B$1:$B$6, MATCH(Employees!F480, Departments!$A$1:$A$6, 0))</f>
        <v>Sales</v>
      </c>
      <c r="O480" s="3" t="str">
        <f>INDEX(Departments!$B$2:$B$6,MATCH(Employees!F480,Departments!$A$2:$A$6,0))</f>
        <v>Sales</v>
      </c>
      <c r="P480" s="3">
        <f>INDEX(Performance!$C$2:$C$501,MATCH(Employees!A480,Performance!$A$2:$A$501,0))</f>
        <v>3</v>
      </c>
      <c r="Q480" s="4">
        <f t="shared" si="7"/>
        <v>4752.72</v>
      </c>
    </row>
    <row r="481" spans="1:17" hidden="1" x14ac:dyDescent="0.25">
      <c r="A481" s="2" t="s">
        <v>1454</v>
      </c>
      <c r="B481" s="2" t="s">
        <v>55</v>
      </c>
      <c r="C481" s="2" t="s">
        <v>171</v>
      </c>
      <c r="D481" s="2" t="s">
        <v>29</v>
      </c>
      <c r="E481" s="2">
        <v>58</v>
      </c>
      <c r="F481" s="2" t="s">
        <v>45</v>
      </c>
      <c r="G481" s="2" t="s">
        <v>46</v>
      </c>
      <c r="H481" s="2" t="s">
        <v>1455</v>
      </c>
      <c r="I481" s="2">
        <v>81285</v>
      </c>
      <c r="J481" s="2" t="s">
        <v>40</v>
      </c>
      <c r="K481" s="2" t="s">
        <v>1456</v>
      </c>
      <c r="L481" s="2" t="s">
        <v>26</v>
      </c>
      <c r="M481" s="2" t="str">
        <f>VLOOKUP(F481,Departments!$A$1:$C$6,2,0)</f>
        <v>Marketing</v>
      </c>
      <c r="N481" s="2" t="str">
        <f>INDEX(Departments!$B$1:$B$6, MATCH(Employees!F481, Departments!$A$1:$A$6, 0))</f>
        <v>Marketing</v>
      </c>
      <c r="O481" s="3" t="str">
        <f>INDEX(Departments!$B$2:$B$6,MATCH(Employees!F481,Departments!$A$2:$A$6,0))</f>
        <v>Marketing</v>
      </c>
      <c r="P481" s="3">
        <f>INDEX(Performance!$C$2:$C$501,MATCH(Employees!A481,Performance!$A$2:$A$501,0))</f>
        <v>2</v>
      </c>
      <c r="Q481" s="4">
        <f t="shared" si="7"/>
        <v>4064.25</v>
      </c>
    </row>
    <row r="482" spans="1:17" hidden="1" x14ac:dyDescent="0.25">
      <c r="A482" s="2" t="s">
        <v>1457</v>
      </c>
      <c r="B482" s="2" t="s">
        <v>55</v>
      </c>
      <c r="C482" s="2" t="s">
        <v>69</v>
      </c>
      <c r="D482" s="2" t="s">
        <v>20</v>
      </c>
      <c r="E482" s="2">
        <v>53</v>
      </c>
      <c r="F482" s="2" t="s">
        <v>45</v>
      </c>
      <c r="G482" s="2" t="s">
        <v>114</v>
      </c>
      <c r="H482" s="2" t="s">
        <v>1458</v>
      </c>
      <c r="I482" s="2">
        <v>100041</v>
      </c>
      <c r="J482" s="2" t="s">
        <v>24</v>
      </c>
      <c r="K482" s="2" t="s">
        <v>1459</v>
      </c>
      <c r="L482" s="2" t="s">
        <v>26</v>
      </c>
      <c r="M482" s="2" t="str">
        <f>VLOOKUP(F482,Departments!$A$1:$C$6,2,0)</f>
        <v>Marketing</v>
      </c>
      <c r="N482" s="2" t="str">
        <f>INDEX(Departments!$B$1:$B$6, MATCH(Employees!F482, Departments!$A$1:$A$6, 0))</f>
        <v>Marketing</v>
      </c>
      <c r="O482" s="3" t="str">
        <f>INDEX(Departments!$B$2:$B$6,MATCH(Employees!F482,Departments!$A$2:$A$6,0))</f>
        <v>Marketing</v>
      </c>
      <c r="P482" s="3">
        <f>INDEX(Performance!$C$2:$C$501,MATCH(Employees!A482,Performance!$A$2:$A$501,0))</f>
        <v>5</v>
      </c>
      <c r="Q482" s="4">
        <f t="shared" si="7"/>
        <v>15006.15</v>
      </c>
    </row>
    <row r="483" spans="1:17" hidden="1" x14ac:dyDescent="0.25">
      <c r="A483" s="2" t="s">
        <v>1460</v>
      </c>
      <c r="B483" s="2" t="s">
        <v>18</v>
      </c>
      <c r="C483" s="2" t="s">
        <v>89</v>
      </c>
      <c r="D483" s="2" t="s">
        <v>29</v>
      </c>
      <c r="E483" s="2">
        <v>48</v>
      </c>
      <c r="F483" s="2" t="s">
        <v>45</v>
      </c>
      <c r="G483" s="2" t="s">
        <v>114</v>
      </c>
      <c r="H483" s="2" t="s">
        <v>1461</v>
      </c>
      <c r="I483" s="2">
        <v>88033</v>
      </c>
      <c r="J483" s="2" t="s">
        <v>86</v>
      </c>
      <c r="K483" s="2" t="s">
        <v>1462</v>
      </c>
      <c r="L483" s="2" t="s">
        <v>26</v>
      </c>
      <c r="M483" s="2" t="str">
        <f>VLOOKUP(F483,Departments!$A$1:$C$6,2,0)</f>
        <v>Marketing</v>
      </c>
      <c r="N483" s="2" t="str">
        <f>INDEX(Departments!$B$1:$B$6, MATCH(Employees!F483, Departments!$A$1:$A$6, 0))</f>
        <v>Marketing</v>
      </c>
      <c r="O483" s="3" t="str">
        <f>INDEX(Departments!$B$2:$B$6,MATCH(Employees!F483,Departments!$A$2:$A$6,0))</f>
        <v>Marketing</v>
      </c>
      <c r="P483" s="3">
        <f>INDEX(Performance!$C$2:$C$501,MATCH(Employees!A483,Performance!$A$2:$A$501,0))</f>
        <v>3</v>
      </c>
      <c r="Q483" s="4">
        <f t="shared" si="7"/>
        <v>6162.31</v>
      </c>
    </row>
    <row r="484" spans="1:17" hidden="1" x14ac:dyDescent="0.25">
      <c r="A484" s="2" t="s">
        <v>1463</v>
      </c>
      <c r="B484" s="2" t="s">
        <v>44</v>
      </c>
      <c r="C484" s="2" t="s">
        <v>51</v>
      </c>
      <c r="D484" s="2" t="s">
        <v>20</v>
      </c>
      <c r="E484" s="2">
        <v>40</v>
      </c>
      <c r="F484" s="2" t="s">
        <v>37</v>
      </c>
      <c r="G484" s="2" t="s">
        <v>114</v>
      </c>
      <c r="H484" s="2" t="s">
        <v>1464</v>
      </c>
      <c r="I484" s="2">
        <v>71291</v>
      </c>
      <c r="J484" s="2" t="s">
        <v>40</v>
      </c>
      <c r="K484" s="2" t="s">
        <v>1465</v>
      </c>
      <c r="L484" s="2" t="s">
        <v>42</v>
      </c>
      <c r="M484" s="2" t="str">
        <f>VLOOKUP(F484,Departments!$A$1:$C$6,2,0)</f>
        <v>Sales</v>
      </c>
      <c r="N484" s="2" t="str">
        <f>INDEX(Departments!$B$1:$B$6, MATCH(Employees!F484, Departments!$A$1:$A$6, 0))</f>
        <v>Sales</v>
      </c>
      <c r="O484" s="3" t="str">
        <f>INDEX(Departments!$B$2:$B$6,MATCH(Employees!F484,Departments!$A$2:$A$6,0))</f>
        <v>Sales</v>
      </c>
      <c r="P484" s="3">
        <f>INDEX(Performance!$C$2:$C$501,MATCH(Employees!A484,Performance!$A$2:$A$501,0))</f>
        <v>3</v>
      </c>
      <c r="Q484" s="4">
        <f t="shared" si="7"/>
        <v>4990.3700000000008</v>
      </c>
    </row>
    <row r="485" spans="1:17" hidden="1" x14ac:dyDescent="0.25">
      <c r="A485" s="2" t="s">
        <v>1466</v>
      </c>
      <c r="B485" s="2" t="s">
        <v>149</v>
      </c>
      <c r="C485" s="2" t="s">
        <v>51</v>
      </c>
      <c r="D485" s="2" t="s">
        <v>20</v>
      </c>
      <c r="E485" s="2">
        <v>27</v>
      </c>
      <c r="F485" s="2" t="s">
        <v>30</v>
      </c>
      <c r="G485" s="2" t="s">
        <v>46</v>
      </c>
      <c r="H485" s="2" t="s">
        <v>1467</v>
      </c>
      <c r="I485" s="2">
        <v>48563</v>
      </c>
      <c r="J485" s="2" t="s">
        <v>40</v>
      </c>
      <c r="K485" s="2" t="s">
        <v>1468</v>
      </c>
      <c r="L485" s="2" t="s">
        <v>42</v>
      </c>
      <c r="M485" s="2" t="str">
        <f>VLOOKUP(F485,Departments!$A$1:$C$6,2,0)</f>
        <v>IT</v>
      </c>
      <c r="N485" s="2" t="str">
        <f>INDEX(Departments!$B$1:$B$6, MATCH(Employees!F485, Departments!$A$1:$A$6, 0))</f>
        <v>IT</v>
      </c>
      <c r="O485" s="3" t="str">
        <f>INDEX(Departments!$B$2:$B$6,MATCH(Employees!F485,Departments!$A$2:$A$6,0))</f>
        <v>IT</v>
      </c>
      <c r="P485" s="3">
        <f>INDEX(Performance!$C$2:$C$501,MATCH(Employees!A485,Performance!$A$2:$A$501,0))</f>
        <v>2</v>
      </c>
      <c r="Q485" s="4">
        <f t="shared" si="7"/>
        <v>2428.15</v>
      </c>
    </row>
    <row r="486" spans="1:17" hidden="1" x14ac:dyDescent="0.25">
      <c r="A486" s="2" t="s">
        <v>1469</v>
      </c>
      <c r="B486" s="2" t="s">
        <v>64</v>
      </c>
      <c r="C486" s="2" t="s">
        <v>51</v>
      </c>
      <c r="D486" s="2" t="s">
        <v>29</v>
      </c>
      <c r="E486" s="2">
        <v>37</v>
      </c>
      <c r="F486" s="2" t="s">
        <v>30</v>
      </c>
      <c r="G486" s="2" t="s">
        <v>38</v>
      </c>
      <c r="H486" s="2" t="s">
        <v>1470</v>
      </c>
      <c r="I486" s="2">
        <v>71454</v>
      </c>
      <c r="J486" s="2" t="s">
        <v>24</v>
      </c>
      <c r="K486" s="2" t="s">
        <v>1471</v>
      </c>
      <c r="L486" s="2" t="s">
        <v>26</v>
      </c>
      <c r="M486" s="2" t="str">
        <f>VLOOKUP(F486,Departments!$A$1:$C$6,2,0)</f>
        <v>IT</v>
      </c>
      <c r="N486" s="2" t="str">
        <f>INDEX(Departments!$B$1:$B$6, MATCH(Employees!F486, Departments!$A$1:$A$6, 0))</f>
        <v>IT</v>
      </c>
      <c r="O486" s="3" t="str">
        <f>INDEX(Departments!$B$2:$B$6,MATCH(Employees!F486,Departments!$A$2:$A$6,0))</f>
        <v>IT</v>
      </c>
      <c r="P486" s="3">
        <f>INDEX(Performance!$C$2:$C$501,MATCH(Employees!A486,Performance!$A$2:$A$501,0))</f>
        <v>4</v>
      </c>
      <c r="Q486" s="4">
        <f t="shared" si="7"/>
        <v>7145.4000000000005</v>
      </c>
    </row>
    <row r="487" spans="1:17" hidden="1" x14ac:dyDescent="0.25">
      <c r="A487" s="2" t="s">
        <v>1472</v>
      </c>
      <c r="B487" s="2" t="s">
        <v>100</v>
      </c>
      <c r="C487" s="2" t="s">
        <v>69</v>
      </c>
      <c r="D487" s="2" t="s">
        <v>29</v>
      </c>
      <c r="E487" s="2">
        <v>39</v>
      </c>
      <c r="F487" s="2" t="s">
        <v>30</v>
      </c>
      <c r="G487" s="2" t="s">
        <v>38</v>
      </c>
      <c r="H487" s="2" t="s">
        <v>1473</v>
      </c>
      <c r="I487" s="2">
        <v>44271</v>
      </c>
      <c r="J487" s="2" t="s">
        <v>40</v>
      </c>
      <c r="K487" s="2" t="s">
        <v>1474</v>
      </c>
      <c r="L487" s="2" t="s">
        <v>42</v>
      </c>
      <c r="M487" s="2" t="str">
        <f>VLOOKUP(F487,Departments!$A$1:$C$6,2,0)</f>
        <v>IT</v>
      </c>
      <c r="N487" s="2" t="str">
        <f>INDEX(Departments!$B$1:$B$6, MATCH(Employees!F487, Departments!$A$1:$A$6, 0))</f>
        <v>IT</v>
      </c>
      <c r="O487" s="3" t="str">
        <f>INDEX(Departments!$B$2:$B$6,MATCH(Employees!F487,Departments!$A$2:$A$6,0))</f>
        <v>IT</v>
      </c>
      <c r="P487" s="3">
        <f>INDEX(Performance!$C$2:$C$501,MATCH(Employees!A487,Performance!$A$2:$A$501,0))</f>
        <v>4</v>
      </c>
      <c r="Q487" s="4">
        <f t="shared" si="7"/>
        <v>4427.1000000000004</v>
      </c>
    </row>
    <row r="488" spans="1:17" hidden="1" x14ac:dyDescent="0.25">
      <c r="A488" s="2" t="s">
        <v>1475</v>
      </c>
      <c r="B488" s="2" t="s">
        <v>44</v>
      </c>
      <c r="C488" s="2" t="s">
        <v>19</v>
      </c>
      <c r="D488" s="2" t="s">
        <v>20</v>
      </c>
      <c r="E488" s="2">
        <v>56</v>
      </c>
      <c r="F488" s="2" t="s">
        <v>21</v>
      </c>
      <c r="G488" s="2" t="s">
        <v>22</v>
      </c>
      <c r="H488" s="2" t="s">
        <v>1476</v>
      </c>
      <c r="I488" s="2">
        <v>93401</v>
      </c>
      <c r="J488" s="2" t="s">
        <v>71</v>
      </c>
      <c r="K488" s="2" t="s">
        <v>1477</v>
      </c>
      <c r="L488" s="2" t="s">
        <v>26</v>
      </c>
      <c r="M488" s="2" t="str">
        <f>VLOOKUP(F488,Departments!$A$1:$C$6,2,0)</f>
        <v>HR</v>
      </c>
      <c r="N488" s="2" t="str">
        <f>INDEX(Departments!$B$1:$B$6, MATCH(Employees!F488, Departments!$A$1:$A$6, 0))</f>
        <v>HR</v>
      </c>
      <c r="O488" s="3" t="str">
        <f>INDEX(Departments!$B$2:$B$6,MATCH(Employees!F488,Departments!$A$2:$A$6,0))</f>
        <v>HR</v>
      </c>
      <c r="P488" s="3">
        <f>INDEX(Performance!$C$2:$C$501,MATCH(Employees!A488,Performance!$A$2:$A$501,0))</f>
        <v>2</v>
      </c>
      <c r="Q488" s="4">
        <f t="shared" si="7"/>
        <v>4670.05</v>
      </c>
    </row>
    <row r="489" spans="1:17" hidden="1" x14ac:dyDescent="0.25">
      <c r="A489" s="2" t="s">
        <v>1478</v>
      </c>
      <c r="B489" s="2" t="s">
        <v>77</v>
      </c>
      <c r="C489" s="2" t="s">
        <v>69</v>
      </c>
      <c r="D489" s="2" t="s">
        <v>29</v>
      </c>
      <c r="E489" s="2">
        <v>22</v>
      </c>
      <c r="F489" s="2" t="s">
        <v>30</v>
      </c>
      <c r="G489" s="2" t="s">
        <v>38</v>
      </c>
      <c r="H489" s="2" t="s">
        <v>1479</v>
      </c>
      <c r="I489" s="2">
        <v>56106</v>
      </c>
      <c r="J489" s="2" t="s">
        <v>24</v>
      </c>
      <c r="K489" s="2" t="s">
        <v>1480</v>
      </c>
      <c r="L489" s="2" t="s">
        <v>42</v>
      </c>
      <c r="M489" s="2" t="str">
        <f>VLOOKUP(F489,Departments!$A$1:$C$6,2,0)</f>
        <v>IT</v>
      </c>
      <c r="N489" s="2" t="str">
        <f>INDEX(Departments!$B$1:$B$6, MATCH(Employees!F489, Departments!$A$1:$A$6, 0))</f>
        <v>IT</v>
      </c>
      <c r="O489" s="3" t="str">
        <f>INDEX(Departments!$B$2:$B$6,MATCH(Employees!F489,Departments!$A$2:$A$6,0))</f>
        <v>IT</v>
      </c>
      <c r="P489" s="3">
        <f>INDEX(Performance!$C$2:$C$501,MATCH(Employees!A489,Performance!$A$2:$A$501,0))</f>
        <v>1</v>
      </c>
      <c r="Q489" s="4">
        <f t="shared" si="7"/>
        <v>2805.3</v>
      </c>
    </row>
    <row r="490" spans="1:17" hidden="1" x14ac:dyDescent="0.25">
      <c r="A490" s="2" t="s">
        <v>1481</v>
      </c>
      <c r="B490" s="2" t="s">
        <v>100</v>
      </c>
      <c r="C490" s="2" t="s">
        <v>101</v>
      </c>
      <c r="D490" s="2" t="s">
        <v>20</v>
      </c>
      <c r="E490" s="2">
        <v>38</v>
      </c>
      <c r="F490" s="2" t="s">
        <v>45</v>
      </c>
      <c r="G490" s="2" t="s">
        <v>38</v>
      </c>
      <c r="H490" s="2" t="s">
        <v>306</v>
      </c>
      <c r="I490" s="2">
        <v>106273</v>
      </c>
      <c r="J490" s="2" t="s">
        <v>24</v>
      </c>
      <c r="K490" s="2" t="s">
        <v>1482</v>
      </c>
      <c r="L490" s="2" t="s">
        <v>42</v>
      </c>
      <c r="M490" s="2" t="str">
        <f>VLOOKUP(F490,Departments!$A$1:$C$6,2,0)</f>
        <v>Marketing</v>
      </c>
      <c r="N490" s="2" t="str">
        <f>INDEX(Departments!$B$1:$B$6, MATCH(Employees!F490, Departments!$A$1:$A$6, 0))</f>
        <v>Marketing</v>
      </c>
      <c r="O490" s="3" t="str">
        <f>INDEX(Departments!$B$2:$B$6,MATCH(Employees!F490,Departments!$A$2:$A$6,0))</f>
        <v>Marketing</v>
      </c>
      <c r="P490" s="3">
        <f>INDEX(Performance!$C$2:$C$501,MATCH(Employees!A490,Performance!$A$2:$A$501,0))</f>
        <v>5</v>
      </c>
      <c r="Q490" s="4">
        <f t="shared" si="7"/>
        <v>15940.949999999999</v>
      </c>
    </row>
    <row r="491" spans="1:17" hidden="1" x14ac:dyDescent="0.25">
      <c r="A491" s="2" t="s">
        <v>1483</v>
      </c>
      <c r="B491" s="2" t="s">
        <v>77</v>
      </c>
      <c r="C491" s="2" t="s">
        <v>136</v>
      </c>
      <c r="D491" s="2" t="s">
        <v>29</v>
      </c>
      <c r="E491" s="2">
        <v>45</v>
      </c>
      <c r="F491" s="2" t="s">
        <v>56</v>
      </c>
      <c r="G491" s="2" t="s">
        <v>46</v>
      </c>
      <c r="H491" s="2" t="s">
        <v>1484</v>
      </c>
      <c r="I491" s="2">
        <v>105710</v>
      </c>
      <c r="J491" s="2" t="s">
        <v>86</v>
      </c>
      <c r="K491" s="2" t="s">
        <v>1485</v>
      </c>
      <c r="L491" s="2" t="s">
        <v>26</v>
      </c>
      <c r="M491" s="2" t="str">
        <f>VLOOKUP(F491,Departments!$A$1:$C$6,2,0)</f>
        <v>Finance</v>
      </c>
      <c r="N491" s="2" t="str">
        <f>INDEX(Departments!$B$1:$B$6, MATCH(Employees!F491, Departments!$A$1:$A$6, 0))</f>
        <v>Finance</v>
      </c>
      <c r="O491" s="3" t="str">
        <f>INDEX(Departments!$B$2:$B$6,MATCH(Employees!F491,Departments!$A$2:$A$6,0))</f>
        <v>Finance</v>
      </c>
      <c r="P491" s="3">
        <f>INDEX(Performance!$C$2:$C$501,MATCH(Employees!A491,Performance!$A$2:$A$501,0))</f>
        <v>2</v>
      </c>
      <c r="Q491" s="4">
        <f t="shared" si="7"/>
        <v>5285.5</v>
      </c>
    </row>
    <row r="492" spans="1:17" hidden="1" x14ac:dyDescent="0.25">
      <c r="A492" s="2" t="s">
        <v>1486</v>
      </c>
      <c r="B492" s="2" t="s">
        <v>149</v>
      </c>
      <c r="C492" s="2" t="s">
        <v>19</v>
      </c>
      <c r="D492" s="2" t="s">
        <v>20</v>
      </c>
      <c r="E492" s="2">
        <v>46</v>
      </c>
      <c r="F492" s="2" t="s">
        <v>56</v>
      </c>
      <c r="G492" s="2" t="s">
        <v>114</v>
      </c>
      <c r="H492" s="2" t="s">
        <v>276</v>
      </c>
      <c r="I492" s="2">
        <v>68751</v>
      </c>
      <c r="J492" s="2" t="s">
        <v>24</v>
      </c>
      <c r="K492" s="2" t="s">
        <v>1487</v>
      </c>
      <c r="L492" s="2" t="s">
        <v>26</v>
      </c>
      <c r="M492" s="2" t="str">
        <f>VLOOKUP(F492,Departments!$A$1:$C$6,2,0)</f>
        <v>Finance</v>
      </c>
      <c r="N492" s="2" t="str">
        <f>INDEX(Departments!$B$1:$B$6, MATCH(Employees!F492, Departments!$A$1:$A$6, 0))</f>
        <v>Finance</v>
      </c>
      <c r="O492" s="3" t="str">
        <f>INDEX(Departments!$B$2:$B$6,MATCH(Employees!F492,Departments!$A$2:$A$6,0))</f>
        <v>Finance</v>
      </c>
      <c r="P492" s="3">
        <f>INDEX(Performance!$C$2:$C$501,MATCH(Employees!A492,Performance!$A$2:$A$501,0))</f>
        <v>4</v>
      </c>
      <c r="Q492" s="4">
        <f t="shared" si="7"/>
        <v>6875.1</v>
      </c>
    </row>
    <row r="493" spans="1:17" hidden="1" x14ac:dyDescent="0.25">
      <c r="A493" s="2" t="s">
        <v>1488</v>
      </c>
      <c r="B493" s="2" t="s">
        <v>44</v>
      </c>
      <c r="C493" s="2" t="s">
        <v>51</v>
      </c>
      <c r="D493" s="2" t="s">
        <v>20</v>
      </c>
      <c r="E493" s="2">
        <v>33</v>
      </c>
      <c r="F493" s="2" t="s">
        <v>21</v>
      </c>
      <c r="G493" s="2" t="s">
        <v>31</v>
      </c>
      <c r="H493" s="2" t="s">
        <v>1489</v>
      </c>
      <c r="I493" s="2">
        <v>63873</v>
      </c>
      <c r="J493" s="2" t="s">
        <v>71</v>
      </c>
      <c r="K493" s="2" t="s">
        <v>1490</v>
      </c>
      <c r="L493" s="2" t="s">
        <v>26</v>
      </c>
      <c r="M493" s="2" t="str">
        <f>VLOOKUP(F493,Departments!$A$1:$C$6,2,0)</f>
        <v>HR</v>
      </c>
      <c r="N493" s="2" t="str">
        <f>INDEX(Departments!$B$1:$B$6, MATCH(Employees!F493, Departments!$A$1:$A$6, 0))</f>
        <v>HR</v>
      </c>
      <c r="O493" s="3" t="str">
        <f>INDEX(Departments!$B$2:$B$6,MATCH(Employees!F493,Departments!$A$2:$A$6,0))</f>
        <v>HR</v>
      </c>
      <c r="P493" s="3">
        <f>INDEX(Performance!$C$2:$C$501,MATCH(Employees!A493,Performance!$A$2:$A$501,0))</f>
        <v>5</v>
      </c>
      <c r="Q493" s="4">
        <f t="shared" si="7"/>
        <v>9580.9499999999989</v>
      </c>
    </row>
    <row r="494" spans="1:17" hidden="1" x14ac:dyDescent="0.25">
      <c r="A494" s="2" t="s">
        <v>1491</v>
      </c>
      <c r="B494" s="2" t="s">
        <v>55</v>
      </c>
      <c r="C494" s="2" t="s">
        <v>51</v>
      </c>
      <c r="D494" s="2" t="s">
        <v>29</v>
      </c>
      <c r="E494" s="2">
        <v>39</v>
      </c>
      <c r="F494" s="2" t="s">
        <v>56</v>
      </c>
      <c r="G494" s="2" t="s">
        <v>46</v>
      </c>
      <c r="H494" s="2" t="s">
        <v>1015</v>
      </c>
      <c r="I494" s="2">
        <v>117465</v>
      </c>
      <c r="J494" s="2" t="s">
        <v>40</v>
      </c>
      <c r="K494" s="2" t="s">
        <v>1492</v>
      </c>
      <c r="L494" s="2" t="s">
        <v>42</v>
      </c>
      <c r="M494" s="2" t="str">
        <f>VLOOKUP(F494,Departments!$A$1:$C$6,2,0)</f>
        <v>Finance</v>
      </c>
      <c r="N494" s="2" t="str">
        <f>INDEX(Departments!$B$1:$B$6, MATCH(Employees!F494, Departments!$A$1:$A$6, 0))</f>
        <v>Finance</v>
      </c>
      <c r="O494" s="3" t="str">
        <f>INDEX(Departments!$B$2:$B$6,MATCH(Employees!F494,Departments!$A$2:$A$6,0))</f>
        <v>Finance</v>
      </c>
      <c r="P494" s="3">
        <f>INDEX(Performance!$C$2:$C$501,MATCH(Employees!A494,Performance!$A$2:$A$501,0))</f>
        <v>1</v>
      </c>
      <c r="Q494" s="4">
        <f t="shared" si="7"/>
        <v>5873.25</v>
      </c>
    </row>
    <row r="495" spans="1:17" hidden="1" x14ac:dyDescent="0.25">
      <c r="A495" s="2" t="s">
        <v>1493</v>
      </c>
      <c r="B495" s="2" t="s">
        <v>50</v>
      </c>
      <c r="C495" s="2" t="s">
        <v>136</v>
      </c>
      <c r="D495" s="2" t="s">
        <v>20</v>
      </c>
      <c r="E495" s="2">
        <v>44</v>
      </c>
      <c r="F495" s="2" t="s">
        <v>37</v>
      </c>
      <c r="G495" s="2" t="s">
        <v>31</v>
      </c>
      <c r="H495" s="2" t="s">
        <v>1494</v>
      </c>
      <c r="I495" s="2">
        <v>59582</v>
      </c>
      <c r="J495" s="2" t="s">
        <v>86</v>
      </c>
      <c r="K495" s="2" t="s">
        <v>1495</v>
      </c>
      <c r="L495" s="2" t="s">
        <v>42</v>
      </c>
      <c r="M495" s="2" t="str">
        <f>VLOOKUP(F495,Departments!$A$1:$C$6,2,0)</f>
        <v>Sales</v>
      </c>
      <c r="N495" s="2" t="str">
        <f>INDEX(Departments!$B$1:$B$6, MATCH(Employees!F495, Departments!$A$1:$A$6, 0))</f>
        <v>Sales</v>
      </c>
      <c r="O495" s="3" t="str">
        <f>INDEX(Departments!$B$2:$B$6,MATCH(Employees!F495,Departments!$A$2:$A$6,0))</f>
        <v>Sales</v>
      </c>
      <c r="P495" s="3">
        <f>INDEX(Performance!$C$2:$C$501,MATCH(Employees!A495,Performance!$A$2:$A$501,0))</f>
        <v>5</v>
      </c>
      <c r="Q495" s="4">
        <f t="shared" si="7"/>
        <v>8937.2999999999993</v>
      </c>
    </row>
    <row r="496" spans="1:17" hidden="1" x14ac:dyDescent="0.25">
      <c r="A496" s="2" t="s">
        <v>1496</v>
      </c>
      <c r="B496" s="2" t="s">
        <v>64</v>
      </c>
      <c r="C496" s="2" t="s">
        <v>89</v>
      </c>
      <c r="D496" s="2" t="s">
        <v>20</v>
      </c>
      <c r="E496" s="2">
        <v>51</v>
      </c>
      <c r="F496" s="2" t="s">
        <v>37</v>
      </c>
      <c r="G496" s="2" t="s">
        <v>22</v>
      </c>
      <c r="H496" s="2" t="s">
        <v>1497</v>
      </c>
      <c r="I496" s="2">
        <v>117932</v>
      </c>
      <c r="J496" s="2" t="s">
        <v>86</v>
      </c>
      <c r="K496" s="2" t="s">
        <v>1498</v>
      </c>
      <c r="L496" s="2" t="s">
        <v>26</v>
      </c>
      <c r="M496" s="2" t="str">
        <f>VLOOKUP(F496,Departments!$A$1:$C$6,2,0)</f>
        <v>Sales</v>
      </c>
      <c r="N496" s="2" t="str">
        <f>INDEX(Departments!$B$1:$B$6, MATCH(Employees!F496, Departments!$A$1:$A$6, 0))</f>
        <v>Sales</v>
      </c>
      <c r="O496" s="3" t="str">
        <f>INDEX(Departments!$B$2:$B$6,MATCH(Employees!F496,Departments!$A$2:$A$6,0))</f>
        <v>Sales</v>
      </c>
      <c r="P496" s="3">
        <f>INDEX(Performance!$C$2:$C$501,MATCH(Employees!A496,Performance!$A$2:$A$501,0))</f>
        <v>4</v>
      </c>
      <c r="Q496" s="4">
        <f t="shared" si="7"/>
        <v>11793.2</v>
      </c>
    </row>
    <row r="497" spans="1:17" hidden="1" x14ac:dyDescent="0.25">
      <c r="A497" s="2" t="s">
        <v>1499</v>
      </c>
      <c r="B497" s="2" t="s">
        <v>55</v>
      </c>
      <c r="C497" s="2" t="s">
        <v>51</v>
      </c>
      <c r="D497" s="2" t="s">
        <v>29</v>
      </c>
      <c r="E497" s="2">
        <v>58</v>
      </c>
      <c r="F497" s="2" t="s">
        <v>21</v>
      </c>
      <c r="G497" s="2" t="s">
        <v>46</v>
      </c>
      <c r="H497" s="2" t="s">
        <v>1500</v>
      </c>
      <c r="I497" s="2">
        <v>95198</v>
      </c>
      <c r="J497" s="2" t="s">
        <v>86</v>
      </c>
      <c r="K497" s="2" t="s">
        <v>1501</v>
      </c>
      <c r="L497" s="2" t="s">
        <v>26</v>
      </c>
      <c r="M497" s="2" t="str">
        <f>VLOOKUP(F497,Departments!$A$1:$C$6,2,0)</f>
        <v>HR</v>
      </c>
      <c r="N497" s="2" t="str">
        <f>INDEX(Departments!$B$1:$B$6, MATCH(Employees!F497, Departments!$A$1:$A$6, 0))</f>
        <v>HR</v>
      </c>
      <c r="O497" s="3" t="str">
        <f>INDEX(Departments!$B$2:$B$6,MATCH(Employees!F497,Departments!$A$2:$A$6,0))</f>
        <v>HR</v>
      </c>
      <c r="P497" s="3">
        <f>INDEX(Performance!$C$2:$C$501,MATCH(Employees!A497,Performance!$A$2:$A$501,0))</f>
        <v>1</v>
      </c>
      <c r="Q497" s="4">
        <f t="shared" si="7"/>
        <v>4759.9000000000005</v>
      </c>
    </row>
    <row r="498" spans="1:17" hidden="1" x14ac:dyDescent="0.25">
      <c r="A498" s="2" t="s">
        <v>1502</v>
      </c>
      <c r="B498" s="2" t="s">
        <v>64</v>
      </c>
      <c r="C498" s="2" t="s">
        <v>171</v>
      </c>
      <c r="D498" s="2" t="s">
        <v>29</v>
      </c>
      <c r="E498" s="2">
        <v>24</v>
      </c>
      <c r="F498" s="2" t="s">
        <v>37</v>
      </c>
      <c r="G498" s="2" t="s">
        <v>38</v>
      </c>
      <c r="H498" s="2" t="s">
        <v>1503</v>
      </c>
      <c r="I498" s="2">
        <v>61647</v>
      </c>
      <c r="J498" s="2" t="s">
        <v>86</v>
      </c>
      <c r="K498" s="2" t="s">
        <v>1504</v>
      </c>
      <c r="L498" s="2" t="s">
        <v>42</v>
      </c>
      <c r="M498" s="2" t="str">
        <f>VLOOKUP(F498,Departments!$A$1:$C$6,2,0)</f>
        <v>Sales</v>
      </c>
      <c r="N498" s="2" t="str">
        <f>INDEX(Departments!$B$1:$B$6, MATCH(Employees!F498, Departments!$A$1:$A$6, 0))</f>
        <v>Sales</v>
      </c>
      <c r="O498" s="3" t="str">
        <f>INDEX(Departments!$B$2:$B$6,MATCH(Employees!F498,Departments!$A$2:$A$6,0))</f>
        <v>Sales</v>
      </c>
      <c r="P498" s="3">
        <f>INDEX(Performance!$C$2:$C$501,MATCH(Employees!A498,Performance!$A$2:$A$501,0))</f>
        <v>2</v>
      </c>
      <c r="Q498" s="4">
        <f t="shared" si="7"/>
        <v>3082.3500000000004</v>
      </c>
    </row>
    <row r="499" spans="1:17" hidden="1" x14ac:dyDescent="0.25">
      <c r="A499" s="2" t="s">
        <v>1505</v>
      </c>
      <c r="B499" s="2" t="s">
        <v>100</v>
      </c>
      <c r="C499" s="2" t="s">
        <v>69</v>
      </c>
      <c r="D499" s="2" t="s">
        <v>20</v>
      </c>
      <c r="E499" s="2">
        <v>26</v>
      </c>
      <c r="F499" s="2" t="s">
        <v>56</v>
      </c>
      <c r="G499" s="2" t="s">
        <v>31</v>
      </c>
      <c r="H499" s="2" t="s">
        <v>1506</v>
      </c>
      <c r="I499" s="2">
        <v>41274</v>
      </c>
      <c r="J499" s="2" t="s">
        <v>86</v>
      </c>
      <c r="K499" s="2" t="s">
        <v>1507</v>
      </c>
      <c r="L499" s="2" t="s">
        <v>42</v>
      </c>
      <c r="M499" s="2" t="str">
        <f>VLOOKUP(F499,Departments!$A$1:$C$6,2,0)</f>
        <v>Finance</v>
      </c>
      <c r="N499" s="2" t="str">
        <f>INDEX(Departments!$B$1:$B$6, MATCH(Employees!F499, Departments!$A$1:$A$6, 0))</f>
        <v>Finance</v>
      </c>
      <c r="O499" s="3" t="str">
        <f>INDEX(Departments!$B$2:$B$6,MATCH(Employees!F499,Departments!$A$2:$A$6,0))</f>
        <v>Finance</v>
      </c>
      <c r="P499" s="3">
        <f>INDEX(Performance!$C$2:$C$501,MATCH(Employees!A499,Performance!$A$2:$A$501,0))</f>
        <v>2</v>
      </c>
      <c r="Q499" s="4">
        <f t="shared" si="7"/>
        <v>2063.7000000000003</v>
      </c>
    </row>
    <row r="500" spans="1:17" hidden="1" x14ac:dyDescent="0.25">
      <c r="A500" s="2" t="s">
        <v>1508</v>
      </c>
      <c r="B500" s="2" t="s">
        <v>44</v>
      </c>
      <c r="C500" s="2" t="s">
        <v>89</v>
      </c>
      <c r="D500" s="2" t="s">
        <v>20</v>
      </c>
      <c r="E500" s="2">
        <v>40</v>
      </c>
      <c r="F500" s="2" t="s">
        <v>30</v>
      </c>
      <c r="G500" s="2" t="s">
        <v>46</v>
      </c>
      <c r="H500" s="2" t="s">
        <v>1509</v>
      </c>
      <c r="I500" s="2">
        <v>40450</v>
      </c>
      <c r="J500" s="2" t="s">
        <v>86</v>
      </c>
      <c r="K500" s="2" t="s">
        <v>1510</v>
      </c>
      <c r="L500" s="2" t="s">
        <v>26</v>
      </c>
      <c r="M500" s="2" t="str">
        <f>VLOOKUP(F500,Departments!$A$1:$C$6,2,0)</f>
        <v>IT</v>
      </c>
      <c r="N500" s="2" t="str">
        <f>INDEX(Departments!$B$1:$B$6, MATCH(Employees!F500, Departments!$A$1:$A$6, 0))</f>
        <v>IT</v>
      </c>
      <c r="O500" s="3" t="str">
        <f>INDEX(Departments!$B$2:$B$6,MATCH(Employees!F500,Departments!$A$2:$A$6,0))</f>
        <v>IT</v>
      </c>
      <c r="P500" s="3">
        <f>INDEX(Performance!$C$2:$C$501,MATCH(Employees!A500,Performance!$A$2:$A$501,0))</f>
        <v>3</v>
      </c>
      <c r="Q500" s="4">
        <f t="shared" si="7"/>
        <v>2831.5000000000005</v>
      </c>
    </row>
    <row r="501" spans="1:17" hidden="1" x14ac:dyDescent="0.25">
      <c r="A501" s="2" t="s">
        <v>1511</v>
      </c>
      <c r="B501" s="2" t="s">
        <v>44</v>
      </c>
      <c r="C501" s="2" t="s">
        <v>69</v>
      </c>
      <c r="D501" s="2" t="s">
        <v>29</v>
      </c>
      <c r="E501" s="2">
        <v>58</v>
      </c>
      <c r="F501" s="2" t="s">
        <v>45</v>
      </c>
      <c r="G501" s="2" t="s">
        <v>31</v>
      </c>
      <c r="H501" s="2" t="s">
        <v>1512</v>
      </c>
      <c r="I501" s="2">
        <v>42662</v>
      </c>
      <c r="J501" s="2" t="s">
        <v>71</v>
      </c>
      <c r="K501" s="2" t="s">
        <v>1513</v>
      </c>
      <c r="L501" s="2" t="s">
        <v>26</v>
      </c>
      <c r="M501" s="2" t="str">
        <f>VLOOKUP(F501,Departments!$A$1:$C$6,2,0)</f>
        <v>Marketing</v>
      </c>
      <c r="N501" s="2" t="str">
        <f>INDEX(Departments!$B$1:$B$6, MATCH(Employees!F501, Departments!$A$1:$A$6, 0))</f>
        <v>Marketing</v>
      </c>
      <c r="O501" s="3" t="str">
        <f>INDEX(Departments!$B$2:$B$6,MATCH(Employees!F501,Departments!$A$2:$A$6,0))</f>
        <v>Marketing</v>
      </c>
      <c r="P501" s="3">
        <f>INDEX(Performance!$C$2:$C$501,MATCH(Employees!A501,Performance!$A$2:$A$501,0))</f>
        <v>3</v>
      </c>
      <c r="Q501" s="4">
        <f t="shared" si="7"/>
        <v>2986.34</v>
      </c>
    </row>
  </sheetData>
  <autoFilter ref="A1:Q501" xr:uid="{00000000-0009-0000-0000-000000000000}">
    <filterColumn colId="6">
      <filters>
        <filter val="Analyst"/>
      </filters>
    </filterColumn>
    <filterColumn colId="9">
      <filters>
        <filter val="Kolkata"/>
      </filters>
    </filterColumn>
  </autoFilter>
  <conditionalFormatting sqref="A2:N501">
    <cfRule type="expression" dxfId="3" priority="3">
      <formula>$L2="Active"</formula>
    </cfRule>
  </conditionalFormatting>
  <conditionalFormatting sqref="H2:H501">
    <cfRule type="expression" dxfId="2" priority="5">
      <formula>DATEVALUE($H2)&lt;DATE(2020,1,1)</formula>
    </cfRule>
  </conditionalFormatting>
  <conditionalFormatting sqref="I2:I501">
    <cfRule type="cellIs" dxfId="1" priority="4" operator="greaterThan">
      <formula>100000</formula>
    </cfRule>
  </conditionalFormatting>
  <conditionalFormatting sqref="Q265">
    <cfRule type="expression" dxfId="0" priority="1">
      <formula>"year=$H2&gt;2020"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zoomScaleNormal="100" workbookViewId="0">
      <selection activeCell="J5" sqref="J5"/>
    </sheetView>
  </sheetViews>
  <sheetFormatPr defaultColWidth="8.7109375" defaultRowHeight="15" x14ac:dyDescent="0.25"/>
  <cols>
    <col min="1" max="1" width="13.7109375" bestFit="1" customWidth="1"/>
    <col min="2" max="2" width="17.28515625" bestFit="1" customWidth="1"/>
    <col min="3" max="3" width="8.85546875" bestFit="1" customWidth="1"/>
    <col min="4" max="4" width="22.42578125" bestFit="1" customWidth="1"/>
  </cols>
  <sheetData>
    <row r="1" spans="1:4" x14ac:dyDescent="0.25">
      <c r="A1" s="8" t="s">
        <v>5</v>
      </c>
      <c r="B1" s="8" t="s">
        <v>1514</v>
      </c>
      <c r="C1" s="8" t="s">
        <v>46</v>
      </c>
      <c r="D1" s="9" t="s">
        <v>1515</v>
      </c>
    </row>
    <row r="2" spans="1:4" x14ac:dyDescent="0.25">
      <c r="A2" s="2" t="s">
        <v>21</v>
      </c>
      <c r="B2" s="2" t="s">
        <v>1516</v>
      </c>
      <c r="C2" s="2" t="s">
        <v>1517</v>
      </c>
      <c r="D2" s="7">
        <f>AVERAGEIF(Employees!$F$2:$F$501,A2,Employees!$I$2:$I$501)</f>
        <v>79005.775700934581</v>
      </c>
    </row>
    <row r="3" spans="1:4" x14ac:dyDescent="0.25">
      <c r="A3" s="2" t="s">
        <v>56</v>
      </c>
      <c r="B3" s="2" t="s">
        <v>1518</v>
      </c>
      <c r="C3" s="2" t="s">
        <v>1519</v>
      </c>
      <c r="D3" s="7">
        <f>AVERAGEIF(Employees!$F$2:$F$501,A3,Employees!$I$2:$I$501)</f>
        <v>80100.777777777781</v>
      </c>
    </row>
    <row r="4" spans="1:4" x14ac:dyDescent="0.25">
      <c r="A4" s="2" t="s">
        <v>30</v>
      </c>
      <c r="B4" s="2" t="s">
        <v>1520</v>
      </c>
      <c r="C4" s="2" t="s">
        <v>1521</v>
      </c>
      <c r="D4" s="7">
        <f>AVERAGEIF(Employees!$F$2:$F$501,A4,Employees!$I$2:$I$501)</f>
        <v>78230.108433734946</v>
      </c>
    </row>
    <row r="5" spans="1:4" x14ac:dyDescent="0.25">
      <c r="A5" s="2" t="s">
        <v>37</v>
      </c>
      <c r="B5" s="2" t="s">
        <v>1522</v>
      </c>
      <c r="C5" s="2" t="s">
        <v>1523</v>
      </c>
      <c r="D5" s="7">
        <f>AVERAGEIF(Employees!$F$2:$F$501,A5,Employees!$I$2:$I$501)</f>
        <v>76510.45378151261</v>
      </c>
    </row>
    <row r="6" spans="1:4" x14ac:dyDescent="0.25">
      <c r="A6" s="2" t="s">
        <v>45</v>
      </c>
      <c r="B6" s="2" t="s">
        <v>1524</v>
      </c>
      <c r="C6" s="2" t="s">
        <v>1525</v>
      </c>
      <c r="D6" s="7">
        <f>AVERAGEIF(Employees!$F$2:$F$501,A6,Employees!$I$2:$I$501)</f>
        <v>74376.867469879522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1"/>
  <sheetViews>
    <sheetView topLeftCell="A481" zoomScaleNormal="100" workbookViewId="0">
      <selection activeCell="F6" sqref="F6"/>
    </sheetView>
  </sheetViews>
  <sheetFormatPr defaultColWidth="8.7109375" defaultRowHeight="15" x14ac:dyDescent="0.25"/>
  <cols>
    <col min="1" max="1" width="11.7109375" bestFit="1" customWidth="1"/>
    <col min="2" max="2" width="11.5703125" bestFit="1" customWidth="1"/>
    <col min="3" max="3" width="6.5703125" bestFit="1" customWidth="1"/>
    <col min="4" max="4" width="13.42578125" bestFit="1" customWidth="1"/>
    <col min="5" max="5" width="18.28515625" bestFit="1" customWidth="1"/>
    <col min="6" max="6" width="15.85546875" customWidth="1"/>
  </cols>
  <sheetData>
    <row r="1" spans="1:7" x14ac:dyDescent="0.25">
      <c r="A1" s="1" t="s">
        <v>0</v>
      </c>
      <c r="B1" s="1" t="s">
        <v>1526</v>
      </c>
      <c r="C1" s="1" t="s">
        <v>1527</v>
      </c>
      <c r="D1" s="1" t="s">
        <v>1528</v>
      </c>
      <c r="E1" s="1" t="s">
        <v>1529</v>
      </c>
      <c r="F1" s="5"/>
      <c r="G1" s="5"/>
    </row>
    <row r="2" spans="1:7" x14ac:dyDescent="0.25">
      <c r="A2" s="2" t="s">
        <v>17</v>
      </c>
      <c r="B2" s="2">
        <v>2026</v>
      </c>
      <c r="C2" s="2">
        <v>1</v>
      </c>
      <c r="D2" s="2">
        <v>4</v>
      </c>
      <c r="E2" s="2">
        <v>2</v>
      </c>
    </row>
    <row r="3" spans="1:7" x14ac:dyDescent="0.25">
      <c r="A3" s="2" t="s">
        <v>27</v>
      </c>
      <c r="B3" s="2">
        <v>2026</v>
      </c>
      <c r="C3" s="2">
        <v>4</v>
      </c>
      <c r="D3" s="2">
        <v>5</v>
      </c>
      <c r="E3" s="2">
        <v>7</v>
      </c>
    </row>
    <row r="4" spans="1:7" x14ac:dyDescent="0.25">
      <c r="A4" s="2" t="s">
        <v>35</v>
      </c>
      <c r="B4" s="2">
        <v>2026</v>
      </c>
      <c r="C4" s="2">
        <v>2</v>
      </c>
      <c r="D4" s="2">
        <v>29</v>
      </c>
      <c r="E4" s="2">
        <v>5</v>
      </c>
    </row>
    <row r="5" spans="1:7" x14ac:dyDescent="0.25">
      <c r="A5" s="2" t="s">
        <v>43</v>
      </c>
      <c r="B5" s="2">
        <v>2026</v>
      </c>
      <c r="C5" s="2">
        <v>4</v>
      </c>
      <c r="D5" s="2">
        <v>18</v>
      </c>
      <c r="E5" s="2">
        <v>6</v>
      </c>
    </row>
    <row r="6" spans="1:7" x14ac:dyDescent="0.25">
      <c r="A6" s="2" t="s">
        <v>49</v>
      </c>
      <c r="B6" s="2">
        <v>2026</v>
      </c>
      <c r="C6" s="2">
        <v>2</v>
      </c>
      <c r="D6" s="2">
        <v>48</v>
      </c>
      <c r="E6" s="2">
        <v>2</v>
      </c>
    </row>
    <row r="7" spans="1:7" x14ac:dyDescent="0.25">
      <c r="A7" s="2" t="s">
        <v>54</v>
      </c>
      <c r="B7" s="2">
        <v>2026</v>
      </c>
      <c r="C7" s="2">
        <v>3</v>
      </c>
      <c r="D7" s="2">
        <v>14</v>
      </c>
      <c r="E7" s="2">
        <v>5</v>
      </c>
    </row>
    <row r="8" spans="1:7" x14ac:dyDescent="0.25">
      <c r="A8" s="2" t="s">
        <v>59</v>
      </c>
      <c r="B8" s="2">
        <v>2026</v>
      </c>
      <c r="C8" s="2">
        <v>2</v>
      </c>
      <c r="D8" s="2">
        <v>19</v>
      </c>
      <c r="E8" s="2">
        <v>3</v>
      </c>
    </row>
    <row r="9" spans="1:7" x14ac:dyDescent="0.25">
      <c r="A9" s="2" t="s">
        <v>63</v>
      </c>
      <c r="B9" s="2">
        <v>2026</v>
      </c>
      <c r="C9" s="2">
        <v>1</v>
      </c>
      <c r="D9" s="2">
        <v>4</v>
      </c>
      <c r="E9" s="2">
        <v>2</v>
      </c>
    </row>
    <row r="10" spans="1:7" x14ac:dyDescent="0.25">
      <c r="A10" s="2" t="s">
        <v>68</v>
      </c>
      <c r="B10" s="2">
        <v>2026</v>
      </c>
      <c r="C10" s="2">
        <v>4</v>
      </c>
      <c r="D10" s="2">
        <v>59</v>
      </c>
      <c r="E10" s="2">
        <v>0</v>
      </c>
    </row>
    <row r="11" spans="1:7" x14ac:dyDescent="0.25">
      <c r="A11" s="2" t="s">
        <v>73</v>
      </c>
      <c r="B11" s="2">
        <v>2026</v>
      </c>
      <c r="C11" s="2">
        <v>5</v>
      </c>
      <c r="D11" s="2">
        <v>27</v>
      </c>
      <c r="E11" s="2">
        <v>2</v>
      </c>
    </row>
    <row r="12" spans="1:7" x14ac:dyDescent="0.25">
      <c r="A12" s="2" t="s">
        <v>76</v>
      </c>
      <c r="B12" s="2">
        <v>2026</v>
      </c>
      <c r="C12" s="2">
        <v>3</v>
      </c>
      <c r="D12" s="2">
        <v>42</v>
      </c>
      <c r="E12" s="2">
        <v>3</v>
      </c>
    </row>
    <row r="13" spans="1:7" x14ac:dyDescent="0.25">
      <c r="A13" s="2" t="s">
        <v>80</v>
      </c>
      <c r="B13" s="2">
        <v>2026</v>
      </c>
      <c r="C13" s="2">
        <v>2</v>
      </c>
      <c r="D13" s="2">
        <v>59</v>
      </c>
      <c r="E13" s="2">
        <v>3</v>
      </c>
    </row>
    <row r="14" spans="1:7" x14ac:dyDescent="0.25">
      <c r="A14" s="2" t="s">
        <v>83</v>
      </c>
      <c r="B14" s="2">
        <v>2026</v>
      </c>
      <c r="C14" s="2">
        <v>3</v>
      </c>
      <c r="D14" s="2">
        <v>14</v>
      </c>
      <c r="E14" s="2">
        <v>0</v>
      </c>
    </row>
    <row r="15" spans="1:7" x14ac:dyDescent="0.25">
      <c r="A15" s="2" t="s">
        <v>88</v>
      </c>
      <c r="B15" s="2">
        <v>2026</v>
      </c>
      <c r="C15" s="2">
        <v>2</v>
      </c>
      <c r="D15" s="2">
        <v>2</v>
      </c>
      <c r="E15" s="2">
        <v>12</v>
      </c>
    </row>
    <row r="16" spans="1:7" x14ac:dyDescent="0.25">
      <c r="A16" s="2" t="s">
        <v>92</v>
      </c>
      <c r="B16" s="2">
        <v>2026</v>
      </c>
      <c r="C16" s="2">
        <v>4</v>
      </c>
      <c r="D16" s="2">
        <v>60</v>
      </c>
      <c r="E16" s="2">
        <v>2</v>
      </c>
    </row>
    <row r="17" spans="1:5" x14ac:dyDescent="0.25">
      <c r="A17" s="2" t="s">
        <v>95</v>
      </c>
      <c r="B17" s="2">
        <v>2026</v>
      </c>
      <c r="C17" s="2">
        <v>2</v>
      </c>
      <c r="D17" s="2">
        <v>39</v>
      </c>
      <c r="E17" s="2">
        <v>1</v>
      </c>
    </row>
    <row r="18" spans="1:5" x14ac:dyDescent="0.25">
      <c r="A18" s="2" t="s">
        <v>99</v>
      </c>
      <c r="B18" s="2">
        <v>2026</v>
      </c>
      <c r="C18" s="2">
        <v>1</v>
      </c>
      <c r="D18" s="2">
        <v>60</v>
      </c>
      <c r="E18" s="2">
        <v>12</v>
      </c>
    </row>
    <row r="19" spans="1:5" x14ac:dyDescent="0.25">
      <c r="A19" s="2" t="s">
        <v>104</v>
      </c>
      <c r="B19" s="2">
        <v>2026</v>
      </c>
      <c r="C19" s="2">
        <v>4</v>
      </c>
      <c r="D19" s="2">
        <v>14</v>
      </c>
      <c r="E19" s="2">
        <v>8</v>
      </c>
    </row>
    <row r="20" spans="1:5" x14ac:dyDescent="0.25">
      <c r="A20" s="2" t="s">
        <v>107</v>
      </c>
      <c r="B20" s="2">
        <v>2026</v>
      </c>
      <c r="C20" s="2">
        <v>5</v>
      </c>
      <c r="D20" s="2">
        <v>43</v>
      </c>
      <c r="E20" s="2">
        <v>10</v>
      </c>
    </row>
    <row r="21" spans="1:5" x14ac:dyDescent="0.25">
      <c r="A21" s="2" t="s">
        <v>110</v>
      </c>
      <c r="B21" s="2">
        <v>2026</v>
      </c>
      <c r="C21" s="2">
        <v>5</v>
      </c>
      <c r="D21" s="2">
        <v>45</v>
      </c>
      <c r="E21" s="2">
        <v>8</v>
      </c>
    </row>
    <row r="22" spans="1:5" x14ac:dyDescent="0.25">
      <c r="A22" s="2" t="s">
        <v>113</v>
      </c>
      <c r="B22" s="2">
        <v>2026</v>
      </c>
      <c r="C22" s="2">
        <v>1</v>
      </c>
      <c r="D22" s="2">
        <v>1</v>
      </c>
      <c r="E22" s="2">
        <v>7</v>
      </c>
    </row>
    <row r="23" spans="1:5" x14ac:dyDescent="0.25">
      <c r="A23" s="2" t="s">
        <v>117</v>
      </c>
      <c r="B23" s="2">
        <v>2026</v>
      </c>
      <c r="C23" s="2">
        <v>5</v>
      </c>
      <c r="D23" s="2">
        <v>45</v>
      </c>
      <c r="E23" s="2">
        <v>8</v>
      </c>
    </row>
    <row r="24" spans="1:5" x14ac:dyDescent="0.25">
      <c r="A24" s="2" t="s">
        <v>120</v>
      </c>
      <c r="B24" s="2">
        <v>2026</v>
      </c>
      <c r="C24" s="2">
        <v>3</v>
      </c>
      <c r="D24" s="2">
        <v>16</v>
      </c>
      <c r="E24" s="2">
        <v>3</v>
      </c>
    </row>
    <row r="25" spans="1:5" x14ac:dyDescent="0.25">
      <c r="A25" s="2" t="s">
        <v>123</v>
      </c>
      <c r="B25" s="2">
        <v>2026</v>
      </c>
      <c r="C25" s="2">
        <v>4</v>
      </c>
      <c r="D25" s="2">
        <v>34</v>
      </c>
      <c r="E25" s="2">
        <v>0</v>
      </c>
    </row>
    <row r="26" spans="1:5" x14ac:dyDescent="0.25">
      <c r="A26" s="2" t="s">
        <v>126</v>
      </c>
      <c r="B26" s="2">
        <v>2026</v>
      </c>
      <c r="C26" s="2">
        <v>4</v>
      </c>
      <c r="D26" s="2">
        <v>3</v>
      </c>
      <c r="E26" s="2">
        <v>1</v>
      </c>
    </row>
    <row r="27" spans="1:5" x14ac:dyDescent="0.25">
      <c r="A27" s="2" t="s">
        <v>129</v>
      </c>
      <c r="B27" s="2">
        <v>2026</v>
      </c>
      <c r="C27" s="2">
        <v>1</v>
      </c>
      <c r="D27" s="2">
        <v>12</v>
      </c>
      <c r="E27" s="2">
        <v>0</v>
      </c>
    </row>
    <row r="28" spans="1:5" x14ac:dyDescent="0.25">
      <c r="A28" s="2" t="s">
        <v>132</v>
      </c>
      <c r="B28" s="2">
        <v>2026</v>
      </c>
      <c r="C28" s="2">
        <v>1</v>
      </c>
      <c r="D28" s="2">
        <v>38</v>
      </c>
      <c r="E28" s="2">
        <v>8</v>
      </c>
    </row>
    <row r="29" spans="1:5" x14ac:dyDescent="0.25">
      <c r="A29" s="2" t="s">
        <v>135</v>
      </c>
      <c r="B29" s="2">
        <v>2026</v>
      </c>
      <c r="C29" s="2">
        <v>4</v>
      </c>
      <c r="D29" s="2">
        <v>32</v>
      </c>
      <c r="E29" s="2">
        <v>3</v>
      </c>
    </row>
    <row r="30" spans="1:5" x14ac:dyDescent="0.25">
      <c r="A30" s="2" t="s">
        <v>139</v>
      </c>
      <c r="B30" s="2">
        <v>2026</v>
      </c>
      <c r="C30" s="2">
        <v>5</v>
      </c>
      <c r="D30" s="2">
        <v>17</v>
      </c>
      <c r="E30" s="2">
        <v>9</v>
      </c>
    </row>
    <row r="31" spans="1:5" x14ac:dyDescent="0.25">
      <c r="A31" s="2" t="s">
        <v>142</v>
      </c>
      <c r="B31" s="2">
        <v>2026</v>
      </c>
      <c r="C31" s="2">
        <v>2</v>
      </c>
      <c r="D31" s="2">
        <v>25</v>
      </c>
      <c r="E31" s="2">
        <v>12</v>
      </c>
    </row>
    <row r="32" spans="1:5" x14ac:dyDescent="0.25">
      <c r="A32" s="2" t="s">
        <v>145</v>
      </c>
      <c r="B32" s="2">
        <v>2026</v>
      </c>
      <c r="C32" s="2">
        <v>1</v>
      </c>
      <c r="D32" s="2">
        <v>37</v>
      </c>
      <c r="E32" s="2">
        <v>11</v>
      </c>
    </row>
    <row r="33" spans="1:5" x14ac:dyDescent="0.25">
      <c r="A33" s="2" t="s">
        <v>148</v>
      </c>
      <c r="B33" s="2">
        <v>2026</v>
      </c>
      <c r="C33" s="2">
        <v>4</v>
      </c>
      <c r="D33" s="2">
        <v>9</v>
      </c>
      <c r="E33" s="2">
        <v>11</v>
      </c>
    </row>
    <row r="34" spans="1:5" x14ac:dyDescent="0.25">
      <c r="A34" s="2" t="s">
        <v>152</v>
      </c>
      <c r="B34" s="2">
        <v>2026</v>
      </c>
      <c r="C34" s="2">
        <v>5</v>
      </c>
      <c r="D34" s="2">
        <v>56</v>
      </c>
      <c r="E34" s="2">
        <v>9</v>
      </c>
    </row>
    <row r="35" spans="1:5" x14ac:dyDescent="0.25">
      <c r="A35" s="2" t="s">
        <v>155</v>
      </c>
      <c r="B35" s="2">
        <v>2026</v>
      </c>
      <c r="C35" s="2">
        <v>1</v>
      </c>
      <c r="D35" s="2">
        <v>31</v>
      </c>
      <c r="E35" s="2">
        <v>8</v>
      </c>
    </row>
    <row r="36" spans="1:5" x14ac:dyDescent="0.25">
      <c r="A36" s="2" t="s">
        <v>158</v>
      </c>
      <c r="B36" s="2">
        <v>2026</v>
      </c>
      <c r="C36" s="2">
        <v>5</v>
      </c>
      <c r="D36" s="2">
        <v>25</v>
      </c>
      <c r="E36" s="2">
        <v>3</v>
      </c>
    </row>
    <row r="37" spans="1:5" x14ac:dyDescent="0.25">
      <c r="A37" s="2" t="s">
        <v>161</v>
      </c>
      <c r="B37" s="2">
        <v>2026</v>
      </c>
      <c r="C37" s="2">
        <v>1</v>
      </c>
      <c r="D37" s="2">
        <v>58</v>
      </c>
      <c r="E37" s="2">
        <v>11</v>
      </c>
    </row>
    <row r="38" spans="1:5" x14ac:dyDescent="0.25">
      <c r="A38" s="2" t="s">
        <v>164</v>
      </c>
      <c r="B38" s="2">
        <v>2026</v>
      </c>
      <c r="C38" s="2">
        <v>4</v>
      </c>
      <c r="D38" s="2">
        <v>25</v>
      </c>
      <c r="E38" s="2">
        <v>10</v>
      </c>
    </row>
    <row r="39" spans="1:5" x14ac:dyDescent="0.25">
      <c r="A39" s="2" t="s">
        <v>167</v>
      </c>
      <c r="B39" s="2">
        <v>2026</v>
      </c>
      <c r="C39" s="2">
        <v>4</v>
      </c>
      <c r="D39" s="2">
        <v>41</v>
      </c>
      <c r="E39" s="2">
        <v>4</v>
      </c>
    </row>
    <row r="40" spans="1:5" x14ac:dyDescent="0.25">
      <c r="A40" s="2" t="s">
        <v>170</v>
      </c>
      <c r="B40" s="2">
        <v>2026</v>
      </c>
      <c r="C40" s="2">
        <v>3</v>
      </c>
      <c r="D40" s="2">
        <v>7</v>
      </c>
      <c r="E40" s="2">
        <v>9</v>
      </c>
    </row>
    <row r="41" spans="1:5" x14ac:dyDescent="0.25">
      <c r="A41" s="2" t="s">
        <v>174</v>
      </c>
      <c r="B41" s="2">
        <v>2026</v>
      </c>
      <c r="C41" s="2">
        <v>2</v>
      </c>
      <c r="D41" s="2">
        <v>14</v>
      </c>
      <c r="E41" s="2">
        <v>3</v>
      </c>
    </row>
    <row r="42" spans="1:5" x14ac:dyDescent="0.25">
      <c r="A42" s="2" t="s">
        <v>177</v>
      </c>
      <c r="B42" s="2">
        <v>2026</v>
      </c>
      <c r="C42" s="2">
        <v>4</v>
      </c>
      <c r="D42" s="2">
        <v>49</v>
      </c>
      <c r="E42" s="2">
        <v>12</v>
      </c>
    </row>
    <row r="43" spans="1:5" x14ac:dyDescent="0.25">
      <c r="A43" s="2" t="s">
        <v>180</v>
      </c>
      <c r="B43" s="2">
        <v>2026</v>
      </c>
      <c r="C43" s="2">
        <v>3</v>
      </c>
      <c r="D43" s="2">
        <v>11</v>
      </c>
      <c r="E43" s="2">
        <v>11</v>
      </c>
    </row>
    <row r="44" spans="1:5" x14ac:dyDescent="0.25">
      <c r="A44" s="2" t="s">
        <v>183</v>
      </c>
      <c r="B44" s="2">
        <v>2026</v>
      </c>
      <c r="C44" s="2">
        <v>5</v>
      </c>
      <c r="D44" s="2">
        <v>42</v>
      </c>
      <c r="E44" s="2">
        <v>7</v>
      </c>
    </row>
    <row r="45" spans="1:5" x14ac:dyDescent="0.25">
      <c r="A45" s="2" t="s">
        <v>186</v>
      </c>
      <c r="B45" s="2">
        <v>2026</v>
      </c>
      <c r="C45" s="2">
        <v>3</v>
      </c>
      <c r="D45" s="2">
        <v>49</v>
      </c>
      <c r="E45" s="2">
        <v>8</v>
      </c>
    </row>
    <row r="46" spans="1:5" x14ac:dyDescent="0.25">
      <c r="A46" s="2" t="s">
        <v>189</v>
      </c>
      <c r="B46" s="2">
        <v>2026</v>
      </c>
      <c r="C46" s="2">
        <v>1</v>
      </c>
      <c r="D46" s="2">
        <v>27</v>
      </c>
      <c r="E46" s="2">
        <v>9</v>
      </c>
    </row>
    <row r="47" spans="1:5" x14ac:dyDescent="0.25">
      <c r="A47" s="2" t="s">
        <v>192</v>
      </c>
      <c r="B47" s="2">
        <v>2026</v>
      </c>
      <c r="C47" s="2">
        <v>4</v>
      </c>
      <c r="D47" s="2">
        <v>34</v>
      </c>
      <c r="E47" s="2">
        <v>1</v>
      </c>
    </row>
    <row r="48" spans="1:5" x14ac:dyDescent="0.25">
      <c r="A48" s="2" t="s">
        <v>195</v>
      </c>
      <c r="B48" s="2">
        <v>2026</v>
      </c>
      <c r="C48" s="2">
        <v>5</v>
      </c>
      <c r="D48" s="2">
        <v>8</v>
      </c>
      <c r="E48" s="2">
        <v>3</v>
      </c>
    </row>
    <row r="49" spans="1:5" x14ac:dyDescent="0.25">
      <c r="A49" s="2" t="s">
        <v>198</v>
      </c>
      <c r="B49" s="2">
        <v>2026</v>
      </c>
      <c r="C49" s="2">
        <v>5</v>
      </c>
      <c r="D49" s="2">
        <v>58</v>
      </c>
      <c r="E49" s="2">
        <v>1</v>
      </c>
    </row>
    <row r="50" spans="1:5" x14ac:dyDescent="0.25">
      <c r="A50" s="2" t="s">
        <v>201</v>
      </c>
      <c r="B50" s="2">
        <v>2026</v>
      </c>
      <c r="C50" s="2">
        <v>2</v>
      </c>
      <c r="D50" s="2">
        <v>11</v>
      </c>
      <c r="E50" s="2">
        <v>6</v>
      </c>
    </row>
    <row r="51" spans="1:5" x14ac:dyDescent="0.25">
      <c r="A51" s="2" t="s">
        <v>204</v>
      </c>
      <c r="B51" s="2">
        <v>2026</v>
      </c>
      <c r="C51" s="2">
        <v>1</v>
      </c>
      <c r="D51" s="2">
        <v>12</v>
      </c>
      <c r="E51" s="2">
        <v>4</v>
      </c>
    </row>
    <row r="52" spans="1:5" x14ac:dyDescent="0.25">
      <c r="A52" s="2" t="s">
        <v>206</v>
      </c>
      <c r="B52" s="2">
        <v>2026</v>
      </c>
      <c r="C52" s="2">
        <v>5</v>
      </c>
      <c r="D52" s="2">
        <v>54</v>
      </c>
      <c r="E52" s="2">
        <v>5</v>
      </c>
    </row>
    <row r="53" spans="1:5" x14ac:dyDescent="0.25">
      <c r="A53" s="2" t="s">
        <v>209</v>
      </c>
      <c r="B53" s="2">
        <v>2026</v>
      </c>
      <c r="C53" s="2">
        <v>4</v>
      </c>
      <c r="D53" s="2">
        <v>38</v>
      </c>
      <c r="E53" s="2">
        <v>4</v>
      </c>
    </row>
    <row r="54" spans="1:5" x14ac:dyDescent="0.25">
      <c r="A54" s="2" t="s">
        <v>212</v>
      </c>
      <c r="B54" s="2">
        <v>2026</v>
      </c>
      <c r="C54" s="2">
        <v>4</v>
      </c>
      <c r="D54" s="2">
        <v>47</v>
      </c>
      <c r="E54" s="2">
        <v>1</v>
      </c>
    </row>
    <row r="55" spans="1:5" x14ac:dyDescent="0.25">
      <c r="A55" s="2" t="s">
        <v>215</v>
      </c>
      <c r="B55" s="2">
        <v>2026</v>
      </c>
      <c r="C55" s="2">
        <v>2</v>
      </c>
      <c r="D55" s="2">
        <v>41</v>
      </c>
      <c r="E55" s="2">
        <v>5</v>
      </c>
    </row>
    <row r="56" spans="1:5" x14ac:dyDescent="0.25">
      <c r="A56" s="2" t="s">
        <v>218</v>
      </c>
      <c r="B56" s="2">
        <v>2026</v>
      </c>
      <c r="C56" s="2">
        <v>1</v>
      </c>
      <c r="D56" s="2">
        <v>59</v>
      </c>
      <c r="E56" s="2">
        <v>8</v>
      </c>
    </row>
    <row r="57" spans="1:5" x14ac:dyDescent="0.25">
      <c r="A57" s="2" t="s">
        <v>221</v>
      </c>
      <c r="B57" s="2">
        <v>2026</v>
      </c>
      <c r="C57" s="2">
        <v>3</v>
      </c>
      <c r="D57" s="2">
        <v>13</v>
      </c>
      <c r="E57" s="2">
        <v>12</v>
      </c>
    </row>
    <row r="58" spans="1:5" x14ac:dyDescent="0.25">
      <c r="A58" s="2" t="s">
        <v>224</v>
      </c>
      <c r="B58" s="2">
        <v>2026</v>
      </c>
      <c r="C58" s="2">
        <v>4</v>
      </c>
      <c r="D58" s="2">
        <v>22</v>
      </c>
      <c r="E58" s="2">
        <v>9</v>
      </c>
    </row>
    <row r="59" spans="1:5" x14ac:dyDescent="0.25">
      <c r="A59" s="2" t="s">
        <v>227</v>
      </c>
      <c r="B59" s="2">
        <v>2026</v>
      </c>
      <c r="C59" s="2">
        <v>2</v>
      </c>
      <c r="D59" s="2">
        <v>5</v>
      </c>
      <c r="E59" s="2">
        <v>4</v>
      </c>
    </row>
    <row r="60" spans="1:5" x14ac:dyDescent="0.25">
      <c r="A60" s="2" t="s">
        <v>230</v>
      </c>
      <c r="B60" s="2">
        <v>2026</v>
      </c>
      <c r="C60" s="2">
        <v>3</v>
      </c>
      <c r="D60" s="2">
        <v>38</v>
      </c>
      <c r="E60" s="2">
        <v>0</v>
      </c>
    </row>
    <row r="61" spans="1:5" x14ac:dyDescent="0.25">
      <c r="A61" s="2" t="s">
        <v>233</v>
      </c>
      <c r="B61" s="2">
        <v>2026</v>
      </c>
      <c r="C61" s="2">
        <v>3</v>
      </c>
      <c r="D61" s="2">
        <v>50</v>
      </c>
      <c r="E61" s="2">
        <v>5</v>
      </c>
    </row>
    <row r="62" spans="1:5" x14ac:dyDescent="0.25">
      <c r="A62" s="2" t="s">
        <v>236</v>
      </c>
      <c r="B62" s="2">
        <v>2026</v>
      </c>
      <c r="C62" s="2">
        <v>4</v>
      </c>
      <c r="D62" s="2">
        <v>2</v>
      </c>
      <c r="E62" s="2">
        <v>3</v>
      </c>
    </row>
    <row r="63" spans="1:5" x14ac:dyDescent="0.25">
      <c r="A63" s="2" t="s">
        <v>239</v>
      </c>
      <c r="B63" s="2">
        <v>2026</v>
      </c>
      <c r="C63" s="2">
        <v>5</v>
      </c>
      <c r="D63" s="2">
        <v>38</v>
      </c>
      <c r="E63" s="2">
        <v>12</v>
      </c>
    </row>
    <row r="64" spans="1:5" x14ac:dyDescent="0.25">
      <c r="A64" s="2" t="s">
        <v>242</v>
      </c>
      <c r="B64" s="2">
        <v>2026</v>
      </c>
      <c r="C64" s="2">
        <v>1</v>
      </c>
      <c r="D64" s="2">
        <v>41</v>
      </c>
      <c r="E64" s="2">
        <v>1</v>
      </c>
    </row>
    <row r="65" spans="1:5" x14ac:dyDescent="0.25">
      <c r="A65" s="2" t="s">
        <v>245</v>
      </c>
      <c r="B65" s="2">
        <v>2026</v>
      </c>
      <c r="C65" s="2">
        <v>3</v>
      </c>
      <c r="D65" s="2">
        <v>12</v>
      </c>
      <c r="E65" s="2">
        <v>10</v>
      </c>
    </row>
    <row r="66" spans="1:5" x14ac:dyDescent="0.25">
      <c r="A66" s="2" t="s">
        <v>248</v>
      </c>
      <c r="B66" s="2">
        <v>2026</v>
      </c>
      <c r="C66" s="2">
        <v>3</v>
      </c>
      <c r="D66" s="2">
        <v>21</v>
      </c>
      <c r="E66" s="2">
        <v>11</v>
      </c>
    </row>
    <row r="67" spans="1:5" x14ac:dyDescent="0.25">
      <c r="A67" s="2" t="s">
        <v>251</v>
      </c>
      <c r="B67" s="2">
        <v>2026</v>
      </c>
      <c r="C67" s="2">
        <v>5</v>
      </c>
      <c r="D67" s="2">
        <v>7</v>
      </c>
      <c r="E67" s="2">
        <v>11</v>
      </c>
    </row>
    <row r="68" spans="1:5" x14ac:dyDescent="0.25">
      <c r="A68" s="2" t="s">
        <v>254</v>
      </c>
      <c r="B68" s="2">
        <v>2026</v>
      </c>
      <c r="C68" s="2">
        <v>3</v>
      </c>
      <c r="D68" s="2">
        <v>7</v>
      </c>
      <c r="E68" s="2">
        <v>5</v>
      </c>
    </row>
    <row r="69" spans="1:5" x14ac:dyDescent="0.25">
      <c r="A69" s="2" t="s">
        <v>257</v>
      </c>
      <c r="B69" s="2">
        <v>2026</v>
      </c>
      <c r="C69" s="2">
        <v>2</v>
      </c>
      <c r="D69" s="2">
        <v>42</v>
      </c>
      <c r="E69" s="2">
        <v>12</v>
      </c>
    </row>
    <row r="70" spans="1:5" x14ac:dyDescent="0.25">
      <c r="A70" s="2" t="s">
        <v>260</v>
      </c>
      <c r="B70" s="2">
        <v>2026</v>
      </c>
      <c r="C70" s="2">
        <v>4</v>
      </c>
      <c r="D70" s="2">
        <v>11</v>
      </c>
      <c r="E70" s="2">
        <v>5</v>
      </c>
    </row>
    <row r="71" spans="1:5" x14ac:dyDescent="0.25">
      <c r="A71" s="2" t="s">
        <v>263</v>
      </c>
      <c r="B71" s="2">
        <v>2026</v>
      </c>
      <c r="C71" s="2">
        <v>4</v>
      </c>
      <c r="D71" s="2">
        <v>6</v>
      </c>
      <c r="E71" s="2">
        <v>7</v>
      </c>
    </row>
    <row r="72" spans="1:5" x14ac:dyDescent="0.25">
      <c r="A72" s="2" t="s">
        <v>266</v>
      </c>
      <c r="B72" s="2">
        <v>2026</v>
      </c>
      <c r="C72" s="2">
        <v>2</v>
      </c>
      <c r="D72" s="2">
        <v>6</v>
      </c>
      <c r="E72" s="2">
        <v>0</v>
      </c>
    </row>
    <row r="73" spans="1:5" x14ac:dyDescent="0.25">
      <c r="A73" s="2" t="s">
        <v>269</v>
      </c>
      <c r="B73" s="2">
        <v>2026</v>
      </c>
      <c r="C73" s="2">
        <v>4</v>
      </c>
      <c r="D73" s="2">
        <v>38</v>
      </c>
      <c r="E73" s="2">
        <v>6</v>
      </c>
    </row>
    <row r="74" spans="1:5" x14ac:dyDescent="0.25">
      <c r="A74" s="2" t="s">
        <v>272</v>
      </c>
      <c r="B74" s="2">
        <v>2026</v>
      </c>
      <c r="C74" s="2">
        <v>3</v>
      </c>
      <c r="D74" s="2">
        <v>37</v>
      </c>
      <c r="E74" s="2">
        <v>2</v>
      </c>
    </row>
    <row r="75" spans="1:5" x14ac:dyDescent="0.25">
      <c r="A75" s="2" t="s">
        <v>275</v>
      </c>
      <c r="B75" s="2">
        <v>2026</v>
      </c>
      <c r="C75" s="2">
        <v>3</v>
      </c>
      <c r="D75" s="2">
        <v>1</v>
      </c>
      <c r="E75" s="2">
        <v>6</v>
      </c>
    </row>
    <row r="76" spans="1:5" x14ac:dyDescent="0.25">
      <c r="A76" s="2" t="s">
        <v>278</v>
      </c>
      <c r="B76" s="2">
        <v>2026</v>
      </c>
      <c r="C76" s="2">
        <v>5</v>
      </c>
      <c r="D76" s="2">
        <v>9</v>
      </c>
      <c r="E76" s="2">
        <v>8</v>
      </c>
    </row>
    <row r="77" spans="1:5" x14ac:dyDescent="0.25">
      <c r="A77" s="2" t="s">
        <v>281</v>
      </c>
      <c r="B77" s="2">
        <v>2026</v>
      </c>
      <c r="C77" s="2">
        <v>3</v>
      </c>
      <c r="D77" s="2">
        <v>29</v>
      </c>
      <c r="E77" s="2">
        <v>1</v>
      </c>
    </row>
    <row r="78" spans="1:5" x14ac:dyDescent="0.25">
      <c r="A78" s="2" t="s">
        <v>284</v>
      </c>
      <c r="B78" s="2">
        <v>2026</v>
      </c>
      <c r="C78" s="2">
        <v>1</v>
      </c>
      <c r="D78" s="2">
        <v>14</v>
      </c>
      <c r="E78" s="2">
        <v>3</v>
      </c>
    </row>
    <row r="79" spans="1:5" x14ac:dyDescent="0.25">
      <c r="A79" s="2" t="s">
        <v>287</v>
      </c>
      <c r="B79" s="2">
        <v>2026</v>
      </c>
      <c r="C79" s="2">
        <v>4</v>
      </c>
      <c r="D79" s="2">
        <v>19</v>
      </c>
      <c r="E79" s="2">
        <v>5</v>
      </c>
    </row>
    <row r="80" spans="1:5" x14ac:dyDescent="0.25">
      <c r="A80" s="2" t="s">
        <v>290</v>
      </c>
      <c r="B80" s="2">
        <v>2026</v>
      </c>
      <c r="C80" s="2">
        <v>1</v>
      </c>
      <c r="D80" s="2">
        <v>40</v>
      </c>
      <c r="E80" s="2">
        <v>12</v>
      </c>
    </row>
    <row r="81" spans="1:5" x14ac:dyDescent="0.25">
      <c r="A81" s="2" t="s">
        <v>293</v>
      </c>
      <c r="B81" s="2">
        <v>2026</v>
      </c>
      <c r="C81" s="2">
        <v>2</v>
      </c>
      <c r="D81" s="2">
        <v>30</v>
      </c>
      <c r="E81" s="2">
        <v>12</v>
      </c>
    </row>
    <row r="82" spans="1:5" x14ac:dyDescent="0.25">
      <c r="A82" s="2" t="s">
        <v>296</v>
      </c>
      <c r="B82" s="2">
        <v>2026</v>
      </c>
      <c r="C82" s="2">
        <v>4</v>
      </c>
      <c r="D82" s="2">
        <v>17</v>
      </c>
      <c r="E82" s="2">
        <v>3</v>
      </c>
    </row>
    <row r="83" spans="1:5" x14ac:dyDescent="0.25">
      <c r="A83" s="2" t="s">
        <v>299</v>
      </c>
      <c r="B83" s="2">
        <v>2026</v>
      </c>
      <c r="C83" s="2">
        <v>1</v>
      </c>
      <c r="D83" s="2">
        <v>29</v>
      </c>
      <c r="E83" s="2">
        <v>4</v>
      </c>
    </row>
    <row r="84" spans="1:5" x14ac:dyDescent="0.25">
      <c r="A84" s="2" t="s">
        <v>302</v>
      </c>
      <c r="B84" s="2">
        <v>2026</v>
      </c>
      <c r="C84" s="2">
        <v>3</v>
      </c>
      <c r="D84" s="2">
        <v>54</v>
      </c>
      <c r="E84" s="2">
        <v>5</v>
      </c>
    </row>
    <row r="85" spans="1:5" x14ac:dyDescent="0.25">
      <c r="A85" s="2" t="s">
        <v>305</v>
      </c>
      <c r="B85" s="2">
        <v>2026</v>
      </c>
      <c r="C85" s="2">
        <v>2</v>
      </c>
      <c r="D85" s="2">
        <v>1</v>
      </c>
      <c r="E85" s="2">
        <v>10</v>
      </c>
    </row>
    <row r="86" spans="1:5" x14ac:dyDescent="0.25">
      <c r="A86" s="2" t="s">
        <v>308</v>
      </c>
      <c r="B86" s="2">
        <v>2026</v>
      </c>
      <c r="C86" s="2">
        <v>4</v>
      </c>
      <c r="D86" s="2">
        <v>60</v>
      </c>
      <c r="E86" s="2">
        <v>3</v>
      </c>
    </row>
    <row r="87" spans="1:5" x14ac:dyDescent="0.25">
      <c r="A87" s="2" t="s">
        <v>311</v>
      </c>
      <c r="B87" s="2">
        <v>2026</v>
      </c>
      <c r="C87" s="2">
        <v>3</v>
      </c>
      <c r="D87" s="2">
        <v>14</v>
      </c>
      <c r="E87" s="2">
        <v>0</v>
      </c>
    </row>
    <row r="88" spans="1:5" x14ac:dyDescent="0.25">
      <c r="A88" s="2" t="s">
        <v>313</v>
      </c>
      <c r="B88" s="2">
        <v>2026</v>
      </c>
      <c r="C88" s="2">
        <v>5</v>
      </c>
      <c r="D88" s="2">
        <v>23</v>
      </c>
      <c r="E88" s="2">
        <v>10</v>
      </c>
    </row>
    <row r="89" spans="1:5" x14ac:dyDescent="0.25">
      <c r="A89" s="2" t="s">
        <v>316</v>
      </c>
      <c r="B89" s="2">
        <v>2026</v>
      </c>
      <c r="C89" s="2">
        <v>5</v>
      </c>
      <c r="D89" s="2">
        <v>5</v>
      </c>
      <c r="E89" s="2">
        <v>5</v>
      </c>
    </row>
    <row r="90" spans="1:5" x14ac:dyDescent="0.25">
      <c r="A90" s="2" t="s">
        <v>319</v>
      </c>
      <c r="B90" s="2">
        <v>2026</v>
      </c>
      <c r="C90" s="2">
        <v>1</v>
      </c>
      <c r="D90" s="2">
        <v>31</v>
      </c>
      <c r="E90" s="2">
        <v>2</v>
      </c>
    </row>
    <row r="91" spans="1:5" x14ac:dyDescent="0.25">
      <c r="A91" s="2" t="s">
        <v>322</v>
      </c>
      <c r="B91" s="2">
        <v>2026</v>
      </c>
      <c r="C91" s="2">
        <v>3</v>
      </c>
      <c r="D91" s="2">
        <v>25</v>
      </c>
      <c r="E91" s="2">
        <v>2</v>
      </c>
    </row>
    <row r="92" spans="1:5" x14ac:dyDescent="0.25">
      <c r="A92" s="2" t="s">
        <v>325</v>
      </c>
      <c r="B92" s="2">
        <v>2026</v>
      </c>
      <c r="C92" s="2">
        <v>1</v>
      </c>
      <c r="D92" s="2">
        <v>9</v>
      </c>
      <c r="E92" s="2">
        <v>2</v>
      </c>
    </row>
    <row r="93" spans="1:5" x14ac:dyDescent="0.25">
      <c r="A93" s="2" t="s">
        <v>328</v>
      </c>
      <c r="B93" s="2">
        <v>2026</v>
      </c>
      <c r="C93" s="2">
        <v>3</v>
      </c>
      <c r="D93" s="2">
        <v>7</v>
      </c>
      <c r="E93" s="2">
        <v>4</v>
      </c>
    </row>
    <row r="94" spans="1:5" x14ac:dyDescent="0.25">
      <c r="A94" s="2" t="s">
        <v>331</v>
      </c>
      <c r="B94" s="2">
        <v>2026</v>
      </c>
      <c r="C94" s="2">
        <v>2</v>
      </c>
      <c r="D94" s="2">
        <v>5</v>
      </c>
      <c r="E94" s="2">
        <v>4</v>
      </c>
    </row>
    <row r="95" spans="1:5" x14ac:dyDescent="0.25">
      <c r="A95" s="2" t="s">
        <v>334</v>
      </c>
      <c r="B95" s="2">
        <v>2026</v>
      </c>
      <c r="C95" s="2">
        <v>1</v>
      </c>
      <c r="D95" s="2">
        <v>28</v>
      </c>
      <c r="E95" s="2">
        <v>10</v>
      </c>
    </row>
    <row r="96" spans="1:5" x14ac:dyDescent="0.25">
      <c r="A96" s="2" t="s">
        <v>337</v>
      </c>
      <c r="B96" s="2">
        <v>2026</v>
      </c>
      <c r="C96" s="2">
        <v>2</v>
      </c>
      <c r="D96" s="2">
        <v>44</v>
      </c>
      <c r="E96" s="2">
        <v>5</v>
      </c>
    </row>
    <row r="97" spans="1:5" x14ac:dyDescent="0.25">
      <c r="A97" s="2" t="s">
        <v>340</v>
      </c>
      <c r="B97" s="2">
        <v>2026</v>
      </c>
      <c r="C97" s="2">
        <v>4</v>
      </c>
      <c r="D97" s="2">
        <v>41</v>
      </c>
      <c r="E97" s="2">
        <v>5</v>
      </c>
    </row>
    <row r="98" spans="1:5" x14ac:dyDescent="0.25">
      <c r="A98" s="2" t="s">
        <v>343</v>
      </c>
      <c r="B98" s="2">
        <v>2026</v>
      </c>
      <c r="C98" s="2">
        <v>2</v>
      </c>
      <c r="D98" s="2">
        <v>10</v>
      </c>
      <c r="E98" s="2">
        <v>5</v>
      </c>
    </row>
    <row r="99" spans="1:5" x14ac:dyDescent="0.25">
      <c r="A99" s="2" t="s">
        <v>346</v>
      </c>
      <c r="B99" s="2">
        <v>2026</v>
      </c>
      <c r="C99" s="2">
        <v>2</v>
      </c>
      <c r="D99" s="2">
        <v>15</v>
      </c>
      <c r="E99" s="2">
        <v>7</v>
      </c>
    </row>
    <row r="100" spans="1:5" x14ac:dyDescent="0.25">
      <c r="A100" s="2" t="s">
        <v>349</v>
      </c>
      <c r="B100" s="2">
        <v>2026</v>
      </c>
      <c r="C100" s="2">
        <v>4</v>
      </c>
      <c r="D100" s="2">
        <v>59</v>
      </c>
      <c r="E100" s="2">
        <v>11</v>
      </c>
    </row>
    <row r="101" spans="1:5" x14ac:dyDescent="0.25">
      <c r="A101" s="2" t="s">
        <v>352</v>
      </c>
      <c r="B101" s="2">
        <v>2026</v>
      </c>
      <c r="C101" s="2">
        <v>1</v>
      </c>
      <c r="D101" s="2">
        <v>23</v>
      </c>
      <c r="E101" s="2">
        <v>8</v>
      </c>
    </row>
    <row r="102" spans="1:5" x14ac:dyDescent="0.25">
      <c r="A102" s="2" t="s">
        <v>355</v>
      </c>
      <c r="B102" s="2">
        <v>2026</v>
      </c>
      <c r="C102" s="2">
        <v>5</v>
      </c>
      <c r="D102" s="2">
        <v>31</v>
      </c>
      <c r="E102" s="2">
        <v>12</v>
      </c>
    </row>
    <row r="103" spans="1:5" x14ac:dyDescent="0.25">
      <c r="A103" s="2" t="s">
        <v>358</v>
      </c>
      <c r="B103" s="2">
        <v>2026</v>
      </c>
      <c r="C103" s="2">
        <v>5</v>
      </c>
      <c r="D103" s="2">
        <v>3</v>
      </c>
      <c r="E103" s="2">
        <v>12</v>
      </c>
    </row>
    <row r="104" spans="1:5" x14ac:dyDescent="0.25">
      <c r="A104" s="2" t="s">
        <v>361</v>
      </c>
      <c r="B104" s="2">
        <v>2026</v>
      </c>
      <c r="C104" s="2">
        <v>5</v>
      </c>
      <c r="D104" s="2">
        <v>34</v>
      </c>
      <c r="E104" s="2">
        <v>9</v>
      </c>
    </row>
    <row r="105" spans="1:5" x14ac:dyDescent="0.25">
      <c r="A105" s="2" t="s">
        <v>364</v>
      </c>
      <c r="B105" s="2">
        <v>2026</v>
      </c>
      <c r="C105" s="2">
        <v>3</v>
      </c>
      <c r="D105" s="2">
        <v>57</v>
      </c>
      <c r="E105" s="2">
        <v>1</v>
      </c>
    </row>
    <row r="106" spans="1:5" x14ac:dyDescent="0.25">
      <c r="A106" s="2" t="s">
        <v>367</v>
      </c>
      <c r="B106" s="2">
        <v>2026</v>
      </c>
      <c r="C106" s="2">
        <v>3</v>
      </c>
      <c r="D106" s="2">
        <v>24</v>
      </c>
      <c r="E106" s="2">
        <v>9</v>
      </c>
    </row>
    <row r="107" spans="1:5" x14ac:dyDescent="0.25">
      <c r="A107" s="2" t="s">
        <v>370</v>
      </c>
      <c r="B107" s="2">
        <v>2026</v>
      </c>
      <c r="C107" s="2">
        <v>5</v>
      </c>
      <c r="D107" s="2">
        <v>6</v>
      </c>
      <c r="E107" s="2">
        <v>5</v>
      </c>
    </row>
    <row r="108" spans="1:5" x14ac:dyDescent="0.25">
      <c r="A108" s="2" t="s">
        <v>373</v>
      </c>
      <c r="B108" s="2">
        <v>2026</v>
      </c>
      <c r="C108" s="2">
        <v>1</v>
      </c>
      <c r="D108" s="2">
        <v>49</v>
      </c>
      <c r="E108" s="2">
        <v>9</v>
      </c>
    </row>
    <row r="109" spans="1:5" x14ac:dyDescent="0.25">
      <c r="A109" s="2" t="s">
        <v>376</v>
      </c>
      <c r="B109" s="2">
        <v>2026</v>
      </c>
      <c r="C109" s="2">
        <v>1</v>
      </c>
      <c r="D109" s="2">
        <v>23</v>
      </c>
      <c r="E109" s="2">
        <v>11</v>
      </c>
    </row>
    <row r="110" spans="1:5" x14ac:dyDescent="0.25">
      <c r="A110" s="2" t="s">
        <v>379</v>
      </c>
      <c r="B110" s="2">
        <v>2026</v>
      </c>
      <c r="C110" s="2">
        <v>3</v>
      </c>
      <c r="D110" s="2">
        <v>38</v>
      </c>
      <c r="E110" s="2">
        <v>3</v>
      </c>
    </row>
    <row r="111" spans="1:5" x14ac:dyDescent="0.25">
      <c r="A111" s="2" t="s">
        <v>382</v>
      </c>
      <c r="B111" s="2">
        <v>2026</v>
      </c>
      <c r="C111" s="2">
        <v>4</v>
      </c>
      <c r="D111" s="2">
        <v>50</v>
      </c>
      <c r="E111" s="2">
        <v>7</v>
      </c>
    </row>
    <row r="112" spans="1:5" x14ac:dyDescent="0.25">
      <c r="A112" s="2" t="s">
        <v>385</v>
      </c>
      <c r="B112" s="2">
        <v>2026</v>
      </c>
      <c r="C112" s="2">
        <v>5</v>
      </c>
      <c r="D112" s="2">
        <v>12</v>
      </c>
      <c r="E112" s="2">
        <v>0</v>
      </c>
    </row>
    <row r="113" spans="1:5" x14ac:dyDescent="0.25">
      <c r="A113" s="2" t="s">
        <v>388</v>
      </c>
      <c r="B113" s="2">
        <v>2026</v>
      </c>
      <c r="C113" s="2">
        <v>2</v>
      </c>
      <c r="D113" s="2">
        <v>52</v>
      </c>
      <c r="E113" s="2">
        <v>12</v>
      </c>
    </row>
    <row r="114" spans="1:5" x14ac:dyDescent="0.25">
      <c r="A114" s="2" t="s">
        <v>391</v>
      </c>
      <c r="B114" s="2">
        <v>2026</v>
      </c>
      <c r="C114" s="2">
        <v>5</v>
      </c>
      <c r="D114" s="2">
        <v>32</v>
      </c>
      <c r="E114" s="2">
        <v>11</v>
      </c>
    </row>
    <row r="115" spans="1:5" x14ac:dyDescent="0.25">
      <c r="A115" s="2" t="s">
        <v>394</v>
      </c>
      <c r="B115" s="2">
        <v>2026</v>
      </c>
      <c r="C115" s="2">
        <v>3</v>
      </c>
      <c r="D115" s="2">
        <v>10</v>
      </c>
      <c r="E115" s="2">
        <v>8</v>
      </c>
    </row>
    <row r="116" spans="1:5" x14ac:dyDescent="0.25">
      <c r="A116" s="2" t="s">
        <v>397</v>
      </c>
      <c r="B116" s="2">
        <v>2026</v>
      </c>
      <c r="C116" s="2">
        <v>1</v>
      </c>
      <c r="D116" s="2">
        <v>47</v>
      </c>
      <c r="E116" s="2">
        <v>11</v>
      </c>
    </row>
    <row r="117" spans="1:5" x14ac:dyDescent="0.25">
      <c r="A117" s="2" t="s">
        <v>400</v>
      </c>
      <c r="B117" s="2">
        <v>2026</v>
      </c>
      <c r="C117" s="2">
        <v>5</v>
      </c>
      <c r="D117" s="2">
        <v>10</v>
      </c>
      <c r="E117" s="2">
        <v>1</v>
      </c>
    </row>
    <row r="118" spans="1:5" x14ac:dyDescent="0.25">
      <c r="A118" s="2" t="s">
        <v>403</v>
      </c>
      <c r="B118" s="2">
        <v>2026</v>
      </c>
      <c r="C118" s="2">
        <v>1</v>
      </c>
      <c r="D118" s="2">
        <v>54</v>
      </c>
      <c r="E118" s="2">
        <v>5</v>
      </c>
    </row>
    <row r="119" spans="1:5" x14ac:dyDescent="0.25">
      <c r="A119" s="2" t="s">
        <v>405</v>
      </c>
      <c r="B119" s="2">
        <v>2026</v>
      </c>
      <c r="C119" s="2">
        <v>5</v>
      </c>
      <c r="D119" s="2">
        <v>32</v>
      </c>
      <c r="E119" s="2">
        <v>12</v>
      </c>
    </row>
    <row r="120" spans="1:5" x14ac:dyDescent="0.25">
      <c r="A120" s="2" t="s">
        <v>408</v>
      </c>
      <c r="B120" s="2">
        <v>2026</v>
      </c>
      <c r="C120" s="2">
        <v>2</v>
      </c>
      <c r="D120" s="2">
        <v>60</v>
      </c>
      <c r="E120" s="2">
        <v>2</v>
      </c>
    </row>
    <row r="121" spans="1:5" x14ac:dyDescent="0.25">
      <c r="A121" s="2" t="s">
        <v>411</v>
      </c>
      <c r="B121" s="2">
        <v>2026</v>
      </c>
      <c r="C121" s="2">
        <v>2</v>
      </c>
      <c r="D121" s="2">
        <v>37</v>
      </c>
      <c r="E121" s="2">
        <v>11</v>
      </c>
    </row>
    <row r="122" spans="1:5" x14ac:dyDescent="0.25">
      <c r="A122" s="2" t="s">
        <v>414</v>
      </c>
      <c r="B122" s="2">
        <v>2026</v>
      </c>
      <c r="C122" s="2">
        <v>1</v>
      </c>
      <c r="D122" s="2">
        <v>4</v>
      </c>
      <c r="E122" s="2">
        <v>4</v>
      </c>
    </row>
    <row r="123" spans="1:5" x14ac:dyDescent="0.25">
      <c r="A123" s="2" t="s">
        <v>417</v>
      </c>
      <c r="B123" s="2">
        <v>2026</v>
      </c>
      <c r="C123" s="2">
        <v>5</v>
      </c>
      <c r="D123" s="2">
        <v>58</v>
      </c>
      <c r="E123" s="2">
        <v>8</v>
      </c>
    </row>
    <row r="124" spans="1:5" x14ac:dyDescent="0.25">
      <c r="A124" s="2" t="s">
        <v>420</v>
      </c>
      <c r="B124" s="2">
        <v>2026</v>
      </c>
      <c r="C124" s="2">
        <v>4</v>
      </c>
      <c r="D124" s="2">
        <v>17</v>
      </c>
      <c r="E124" s="2">
        <v>12</v>
      </c>
    </row>
    <row r="125" spans="1:5" x14ac:dyDescent="0.25">
      <c r="A125" s="2" t="s">
        <v>423</v>
      </c>
      <c r="B125" s="2">
        <v>2026</v>
      </c>
      <c r="C125" s="2">
        <v>4</v>
      </c>
      <c r="D125" s="2">
        <v>26</v>
      </c>
      <c r="E125" s="2">
        <v>9</v>
      </c>
    </row>
    <row r="126" spans="1:5" x14ac:dyDescent="0.25">
      <c r="A126" s="2" t="s">
        <v>426</v>
      </c>
      <c r="B126" s="2">
        <v>2026</v>
      </c>
      <c r="C126" s="2">
        <v>4</v>
      </c>
      <c r="D126" s="2">
        <v>60</v>
      </c>
      <c r="E126" s="2">
        <v>3</v>
      </c>
    </row>
    <row r="127" spans="1:5" x14ac:dyDescent="0.25">
      <c r="A127" s="2" t="s">
        <v>429</v>
      </c>
      <c r="B127" s="2">
        <v>2026</v>
      </c>
      <c r="C127" s="2">
        <v>2</v>
      </c>
      <c r="D127" s="2">
        <v>17</v>
      </c>
      <c r="E127" s="2">
        <v>7</v>
      </c>
    </row>
    <row r="128" spans="1:5" x14ac:dyDescent="0.25">
      <c r="A128" s="2" t="s">
        <v>432</v>
      </c>
      <c r="B128" s="2">
        <v>2026</v>
      </c>
      <c r="C128" s="2">
        <v>5</v>
      </c>
      <c r="D128" s="2">
        <v>56</v>
      </c>
      <c r="E128" s="2">
        <v>6</v>
      </c>
    </row>
    <row r="129" spans="1:5" x14ac:dyDescent="0.25">
      <c r="A129" s="2" t="s">
        <v>435</v>
      </c>
      <c r="B129" s="2">
        <v>2026</v>
      </c>
      <c r="C129" s="2">
        <v>1</v>
      </c>
      <c r="D129" s="2">
        <v>14</v>
      </c>
      <c r="E129" s="2">
        <v>6</v>
      </c>
    </row>
    <row r="130" spans="1:5" x14ac:dyDescent="0.25">
      <c r="A130" s="2" t="s">
        <v>438</v>
      </c>
      <c r="B130" s="2">
        <v>2026</v>
      </c>
      <c r="C130" s="2">
        <v>5</v>
      </c>
      <c r="D130" s="2">
        <v>54</v>
      </c>
      <c r="E130" s="2">
        <v>6</v>
      </c>
    </row>
    <row r="131" spans="1:5" x14ac:dyDescent="0.25">
      <c r="A131" s="2" t="s">
        <v>441</v>
      </c>
      <c r="B131" s="2">
        <v>2026</v>
      </c>
      <c r="C131" s="2">
        <v>1</v>
      </c>
      <c r="D131" s="2">
        <v>18</v>
      </c>
      <c r="E131" s="2">
        <v>9</v>
      </c>
    </row>
    <row r="132" spans="1:5" x14ac:dyDescent="0.25">
      <c r="A132" s="2" t="s">
        <v>444</v>
      </c>
      <c r="B132" s="2">
        <v>2026</v>
      </c>
      <c r="C132" s="2">
        <v>5</v>
      </c>
      <c r="D132" s="2">
        <v>13</v>
      </c>
      <c r="E132" s="2">
        <v>1</v>
      </c>
    </row>
    <row r="133" spans="1:5" x14ac:dyDescent="0.25">
      <c r="A133" s="2" t="s">
        <v>447</v>
      </c>
      <c r="B133" s="2">
        <v>2026</v>
      </c>
      <c r="C133" s="2">
        <v>5</v>
      </c>
      <c r="D133" s="2">
        <v>36</v>
      </c>
      <c r="E133" s="2">
        <v>11</v>
      </c>
    </row>
    <row r="134" spans="1:5" x14ac:dyDescent="0.25">
      <c r="A134" s="2" t="s">
        <v>450</v>
      </c>
      <c r="B134" s="2">
        <v>2026</v>
      </c>
      <c r="C134" s="2">
        <v>4</v>
      </c>
      <c r="D134" s="2">
        <v>26</v>
      </c>
      <c r="E134" s="2">
        <v>3</v>
      </c>
    </row>
    <row r="135" spans="1:5" x14ac:dyDescent="0.25">
      <c r="A135" s="2" t="s">
        <v>453</v>
      </c>
      <c r="B135" s="2">
        <v>2026</v>
      </c>
      <c r="C135" s="2">
        <v>2</v>
      </c>
      <c r="D135" s="2">
        <v>50</v>
      </c>
      <c r="E135" s="2">
        <v>8</v>
      </c>
    </row>
    <row r="136" spans="1:5" x14ac:dyDescent="0.25">
      <c r="A136" s="2" t="s">
        <v>456</v>
      </c>
      <c r="B136" s="2">
        <v>2026</v>
      </c>
      <c r="C136" s="2">
        <v>1</v>
      </c>
      <c r="D136" s="2">
        <v>13</v>
      </c>
      <c r="E136" s="2">
        <v>11</v>
      </c>
    </row>
    <row r="137" spans="1:5" x14ac:dyDescent="0.25">
      <c r="A137" s="2" t="s">
        <v>459</v>
      </c>
      <c r="B137" s="2">
        <v>2026</v>
      </c>
      <c r="C137" s="2">
        <v>2</v>
      </c>
      <c r="D137" s="2">
        <v>31</v>
      </c>
      <c r="E137" s="2">
        <v>6</v>
      </c>
    </row>
    <row r="138" spans="1:5" x14ac:dyDescent="0.25">
      <c r="A138" s="2" t="s">
        <v>462</v>
      </c>
      <c r="B138" s="2">
        <v>2026</v>
      </c>
      <c r="C138" s="2">
        <v>3</v>
      </c>
      <c r="D138" s="2">
        <v>41</v>
      </c>
      <c r="E138" s="2">
        <v>11</v>
      </c>
    </row>
    <row r="139" spans="1:5" x14ac:dyDescent="0.25">
      <c r="A139" s="2" t="s">
        <v>465</v>
      </c>
      <c r="B139" s="2">
        <v>2026</v>
      </c>
      <c r="C139" s="2">
        <v>1</v>
      </c>
      <c r="D139" s="2">
        <v>48</v>
      </c>
      <c r="E139" s="2">
        <v>1</v>
      </c>
    </row>
    <row r="140" spans="1:5" x14ac:dyDescent="0.25">
      <c r="A140" s="2" t="s">
        <v>468</v>
      </c>
      <c r="B140" s="2">
        <v>2026</v>
      </c>
      <c r="C140" s="2">
        <v>5</v>
      </c>
      <c r="D140" s="2">
        <v>14</v>
      </c>
      <c r="E140" s="2">
        <v>0</v>
      </c>
    </row>
    <row r="141" spans="1:5" x14ac:dyDescent="0.25">
      <c r="A141" s="2" t="s">
        <v>471</v>
      </c>
      <c r="B141" s="2">
        <v>2026</v>
      </c>
      <c r="C141" s="2">
        <v>2</v>
      </c>
      <c r="D141" s="2">
        <v>46</v>
      </c>
      <c r="E141" s="2">
        <v>4</v>
      </c>
    </row>
    <row r="142" spans="1:5" x14ac:dyDescent="0.25">
      <c r="A142" s="2" t="s">
        <v>474</v>
      </c>
      <c r="B142" s="2">
        <v>2026</v>
      </c>
      <c r="C142" s="2">
        <v>3</v>
      </c>
      <c r="D142" s="2">
        <v>51</v>
      </c>
      <c r="E142" s="2">
        <v>6</v>
      </c>
    </row>
    <row r="143" spans="1:5" x14ac:dyDescent="0.25">
      <c r="A143" s="2" t="s">
        <v>477</v>
      </c>
      <c r="B143" s="2">
        <v>2026</v>
      </c>
      <c r="C143" s="2">
        <v>1</v>
      </c>
      <c r="D143" s="2">
        <v>25</v>
      </c>
      <c r="E143" s="2">
        <v>7</v>
      </c>
    </row>
    <row r="144" spans="1:5" x14ac:dyDescent="0.25">
      <c r="A144" s="2" t="s">
        <v>480</v>
      </c>
      <c r="B144" s="2">
        <v>2026</v>
      </c>
      <c r="C144" s="2">
        <v>3</v>
      </c>
      <c r="D144" s="2">
        <v>36</v>
      </c>
      <c r="E144" s="2">
        <v>3</v>
      </c>
    </row>
    <row r="145" spans="1:5" x14ac:dyDescent="0.25">
      <c r="A145" s="2" t="s">
        <v>483</v>
      </c>
      <c r="B145" s="2">
        <v>2026</v>
      </c>
      <c r="C145" s="2">
        <v>1</v>
      </c>
      <c r="D145" s="2">
        <v>9</v>
      </c>
      <c r="E145" s="2">
        <v>12</v>
      </c>
    </row>
    <row r="146" spans="1:5" x14ac:dyDescent="0.25">
      <c r="A146" s="2" t="s">
        <v>486</v>
      </c>
      <c r="B146" s="2">
        <v>2026</v>
      </c>
      <c r="C146" s="2">
        <v>1</v>
      </c>
      <c r="D146" s="2">
        <v>31</v>
      </c>
      <c r="E146" s="2">
        <v>2</v>
      </c>
    </row>
    <row r="147" spans="1:5" x14ac:dyDescent="0.25">
      <c r="A147" s="2" t="s">
        <v>489</v>
      </c>
      <c r="B147" s="2">
        <v>2026</v>
      </c>
      <c r="C147" s="2">
        <v>3</v>
      </c>
      <c r="D147" s="2">
        <v>27</v>
      </c>
      <c r="E147" s="2">
        <v>11</v>
      </c>
    </row>
    <row r="148" spans="1:5" x14ac:dyDescent="0.25">
      <c r="A148" s="2" t="s">
        <v>492</v>
      </c>
      <c r="B148" s="2">
        <v>2026</v>
      </c>
      <c r="C148" s="2">
        <v>5</v>
      </c>
      <c r="D148" s="2">
        <v>18</v>
      </c>
      <c r="E148" s="2">
        <v>9</v>
      </c>
    </row>
    <row r="149" spans="1:5" x14ac:dyDescent="0.25">
      <c r="A149" s="2" t="s">
        <v>495</v>
      </c>
      <c r="B149" s="2">
        <v>2026</v>
      </c>
      <c r="C149" s="2">
        <v>5</v>
      </c>
      <c r="D149" s="2">
        <v>13</v>
      </c>
      <c r="E149" s="2">
        <v>3</v>
      </c>
    </row>
    <row r="150" spans="1:5" x14ac:dyDescent="0.25">
      <c r="A150" s="2" t="s">
        <v>498</v>
      </c>
      <c r="B150" s="2">
        <v>2026</v>
      </c>
      <c r="C150" s="2">
        <v>4</v>
      </c>
      <c r="D150" s="2">
        <v>12</v>
      </c>
      <c r="E150" s="2">
        <v>7</v>
      </c>
    </row>
    <row r="151" spans="1:5" x14ac:dyDescent="0.25">
      <c r="A151" s="2" t="s">
        <v>500</v>
      </c>
      <c r="B151" s="2">
        <v>2026</v>
      </c>
      <c r="C151" s="2">
        <v>1</v>
      </c>
      <c r="D151" s="2">
        <v>27</v>
      </c>
      <c r="E151" s="2">
        <v>0</v>
      </c>
    </row>
    <row r="152" spans="1:5" x14ac:dyDescent="0.25">
      <c r="A152" s="2" t="s">
        <v>503</v>
      </c>
      <c r="B152" s="2">
        <v>2026</v>
      </c>
      <c r="C152" s="2">
        <v>2</v>
      </c>
      <c r="D152" s="2">
        <v>3</v>
      </c>
      <c r="E152" s="2">
        <v>8</v>
      </c>
    </row>
    <row r="153" spans="1:5" x14ac:dyDescent="0.25">
      <c r="A153" s="2" t="s">
        <v>506</v>
      </c>
      <c r="B153" s="2">
        <v>2026</v>
      </c>
      <c r="C153" s="2">
        <v>5</v>
      </c>
      <c r="D153" s="2">
        <v>55</v>
      </c>
      <c r="E153" s="2">
        <v>6</v>
      </c>
    </row>
    <row r="154" spans="1:5" x14ac:dyDescent="0.25">
      <c r="A154" s="2" t="s">
        <v>509</v>
      </c>
      <c r="B154" s="2">
        <v>2026</v>
      </c>
      <c r="C154" s="2">
        <v>5</v>
      </c>
      <c r="D154" s="2">
        <v>16</v>
      </c>
      <c r="E154" s="2">
        <v>3</v>
      </c>
    </row>
    <row r="155" spans="1:5" x14ac:dyDescent="0.25">
      <c r="A155" s="2" t="s">
        <v>512</v>
      </c>
      <c r="B155" s="2">
        <v>2026</v>
      </c>
      <c r="C155" s="2">
        <v>2</v>
      </c>
      <c r="D155" s="2">
        <v>29</v>
      </c>
      <c r="E155" s="2">
        <v>9</v>
      </c>
    </row>
    <row r="156" spans="1:5" x14ac:dyDescent="0.25">
      <c r="A156" s="2" t="s">
        <v>515</v>
      </c>
      <c r="B156" s="2">
        <v>2026</v>
      </c>
      <c r="C156" s="2">
        <v>2</v>
      </c>
      <c r="D156" s="2">
        <v>3</v>
      </c>
      <c r="E156" s="2">
        <v>10</v>
      </c>
    </row>
    <row r="157" spans="1:5" x14ac:dyDescent="0.25">
      <c r="A157" s="2" t="s">
        <v>518</v>
      </c>
      <c r="B157" s="2">
        <v>2026</v>
      </c>
      <c r="C157" s="2">
        <v>3</v>
      </c>
      <c r="D157" s="2">
        <v>59</v>
      </c>
      <c r="E157" s="2">
        <v>1</v>
      </c>
    </row>
    <row r="158" spans="1:5" x14ac:dyDescent="0.25">
      <c r="A158" s="2" t="s">
        <v>521</v>
      </c>
      <c r="B158" s="2">
        <v>2026</v>
      </c>
      <c r="C158" s="2">
        <v>5</v>
      </c>
      <c r="D158" s="2">
        <v>29</v>
      </c>
      <c r="E158" s="2">
        <v>11</v>
      </c>
    </row>
    <row r="159" spans="1:5" x14ac:dyDescent="0.25">
      <c r="A159" s="2" t="s">
        <v>524</v>
      </c>
      <c r="B159" s="2">
        <v>2026</v>
      </c>
      <c r="C159" s="2">
        <v>3</v>
      </c>
      <c r="D159" s="2">
        <v>8</v>
      </c>
      <c r="E159" s="2">
        <v>11</v>
      </c>
    </row>
    <row r="160" spans="1:5" x14ac:dyDescent="0.25">
      <c r="A160" s="2" t="s">
        <v>527</v>
      </c>
      <c r="B160" s="2">
        <v>2026</v>
      </c>
      <c r="C160" s="2">
        <v>5</v>
      </c>
      <c r="D160" s="2">
        <v>42</v>
      </c>
      <c r="E160" s="2">
        <v>4</v>
      </c>
    </row>
    <row r="161" spans="1:5" x14ac:dyDescent="0.25">
      <c r="A161" s="2" t="s">
        <v>530</v>
      </c>
      <c r="B161" s="2">
        <v>2026</v>
      </c>
      <c r="C161" s="2">
        <v>4</v>
      </c>
      <c r="D161" s="2">
        <v>57</v>
      </c>
      <c r="E161" s="2">
        <v>4</v>
      </c>
    </row>
    <row r="162" spans="1:5" x14ac:dyDescent="0.25">
      <c r="A162" s="2" t="s">
        <v>533</v>
      </c>
      <c r="B162" s="2">
        <v>2026</v>
      </c>
      <c r="C162" s="2">
        <v>3</v>
      </c>
      <c r="D162" s="2">
        <v>4</v>
      </c>
      <c r="E162" s="2">
        <v>7</v>
      </c>
    </row>
    <row r="163" spans="1:5" x14ac:dyDescent="0.25">
      <c r="A163" s="2" t="s">
        <v>536</v>
      </c>
      <c r="B163" s="2">
        <v>2026</v>
      </c>
      <c r="C163" s="2">
        <v>4</v>
      </c>
      <c r="D163" s="2">
        <v>14</v>
      </c>
      <c r="E163" s="2">
        <v>9</v>
      </c>
    </row>
    <row r="164" spans="1:5" x14ac:dyDescent="0.25">
      <c r="A164" s="2" t="s">
        <v>538</v>
      </c>
      <c r="B164" s="2">
        <v>2026</v>
      </c>
      <c r="C164" s="2">
        <v>4</v>
      </c>
      <c r="D164" s="2">
        <v>20</v>
      </c>
      <c r="E164" s="2">
        <v>7</v>
      </c>
    </row>
    <row r="165" spans="1:5" x14ac:dyDescent="0.25">
      <c r="A165" s="2" t="s">
        <v>541</v>
      </c>
      <c r="B165" s="2">
        <v>2026</v>
      </c>
      <c r="C165" s="2">
        <v>3</v>
      </c>
      <c r="D165" s="2">
        <v>20</v>
      </c>
      <c r="E165" s="2">
        <v>1</v>
      </c>
    </row>
    <row r="166" spans="1:5" x14ac:dyDescent="0.25">
      <c r="A166" s="2" t="s">
        <v>544</v>
      </c>
      <c r="B166" s="2">
        <v>2026</v>
      </c>
      <c r="C166" s="2">
        <v>5</v>
      </c>
      <c r="D166" s="2">
        <v>16</v>
      </c>
      <c r="E166" s="2">
        <v>1</v>
      </c>
    </row>
    <row r="167" spans="1:5" x14ac:dyDescent="0.25">
      <c r="A167" s="2" t="s">
        <v>547</v>
      </c>
      <c r="B167" s="2">
        <v>2026</v>
      </c>
      <c r="C167" s="2">
        <v>2</v>
      </c>
      <c r="D167" s="2">
        <v>18</v>
      </c>
      <c r="E167" s="2">
        <v>6</v>
      </c>
    </row>
    <row r="168" spans="1:5" x14ac:dyDescent="0.25">
      <c r="A168" s="2" t="s">
        <v>550</v>
      </c>
      <c r="B168" s="2">
        <v>2026</v>
      </c>
      <c r="C168" s="2">
        <v>1</v>
      </c>
      <c r="D168" s="2">
        <v>60</v>
      </c>
      <c r="E168" s="2">
        <v>3</v>
      </c>
    </row>
    <row r="169" spans="1:5" x14ac:dyDescent="0.25">
      <c r="A169" s="2" t="s">
        <v>553</v>
      </c>
      <c r="B169" s="2">
        <v>2026</v>
      </c>
      <c r="C169" s="2">
        <v>2</v>
      </c>
      <c r="D169" s="2">
        <v>21</v>
      </c>
      <c r="E169" s="2">
        <v>2</v>
      </c>
    </row>
    <row r="170" spans="1:5" x14ac:dyDescent="0.25">
      <c r="A170" s="2" t="s">
        <v>556</v>
      </c>
      <c r="B170" s="2">
        <v>2026</v>
      </c>
      <c r="C170" s="2">
        <v>2</v>
      </c>
      <c r="D170" s="2">
        <v>21</v>
      </c>
      <c r="E170" s="2">
        <v>1</v>
      </c>
    </row>
    <row r="171" spans="1:5" x14ac:dyDescent="0.25">
      <c r="A171" s="2" t="s">
        <v>559</v>
      </c>
      <c r="B171" s="2">
        <v>2026</v>
      </c>
      <c r="C171" s="2">
        <v>1</v>
      </c>
      <c r="D171" s="2">
        <v>16</v>
      </c>
      <c r="E171" s="2">
        <v>10</v>
      </c>
    </row>
    <row r="172" spans="1:5" x14ac:dyDescent="0.25">
      <c r="A172" s="2" t="s">
        <v>562</v>
      </c>
      <c r="B172" s="2">
        <v>2026</v>
      </c>
      <c r="C172" s="2">
        <v>5</v>
      </c>
      <c r="D172" s="2">
        <v>43</v>
      </c>
      <c r="E172" s="2">
        <v>4</v>
      </c>
    </row>
    <row r="173" spans="1:5" x14ac:dyDescent="0.25">
      <c r="A173" s="2" t="s">
        <v>565</v>
      </c>
      <c r="B173" s="2">
        <v>2026</v>
      </c>
      <c r="C173" s="2">
        <v>5</v>
      </c>
      <c r="D173" s="2">
        <v>10</v>
      </c>
      <c r="E173" s="2">
        <v>11</v>
      </c>
    </row>
    <row r="174" spans="1:5" x14ac:dyDescent="0.25">
      <c r="A174" s="2" t="s">
        <v>568</v>
      </c>
      <c r="B174" s="2">
        <v>2026</v>
      </c>
      <c r="C174" s="2">
        <v>3</v>
      </c>
      <c r="D174" s="2">
        <v>52</v>
      </c>
      <c r="E174" s="2">
        <v>0</v>
      </c>
    </row>
    <row r="175" spans="1:5" x14ac:dyDescent="0.25">
      <c r="A175" s="2" t="s">
        <v>571</v>
      </c>
      <c r="B175" s="2">
        <v>2026</v>
      </c>
      <c r="C175" s="2">
        <v>1</v>
      </c>
      <c r="D175" s="2">
        <v>36</v>
      </c>
      <c r="E175" s="2">
        <v>11</v>
      </c>
    </row>
    <row r="176" spans="1:5" x14ac:dyDescent="0.25">
      <c r="A176" s="2" t="s">
        <v>574</v>
      </c>
      <c r="B176" s="2">
        <v>2026</v>
      </c>
      <c r="C176" s="2">
        <v>1</v>
      </c>
      <c r="D176" s="2">
        <v>45</v>
      </c>
      <c r="E176" s="2">
        <v>9</v>
      </c>
    </row>
    <row r="177" spans="1:5" x14ac:dyDescent="0.25">
      <c r="A177" s="2" t="s">
        <v>577</v>
      </c>
      <c r="B177" s="2">
        <v>2026</v>
      </c>
      <c r="C177" s="2">
        <v>5</v>
      </c>
      <c r="D177" s="2">
        <v>22</v>
      </c>
      <c r="E177" s="2">
        <v>0</v>
      </c>
    </row>
    <row r="178" spans="1:5" x14ac:dyDescent="0.25">
      <c r="A178" s="2" t="s">
        <v>580</v>
      </c>
      <c r="B178" s="2">
        <v>2026</v>
      </c>
      <c r="C178" s="2">
        <v>4</v>
      </c>
      <c r="D178" s="2">
        <v>49</v>
      </c>
      <c r="E178" s="2">
        <v>7</v>
      </c>
    </row>
    <row r="179" spans="1:5" x14ac:dyDescent="0.25">
      <c r="A179" s="2" t="s">
        <v>583</v>
      </c>
      <c r="B179" s="2">
        <v>2026</v>
      </c>
      <c r="C179" s="2">
        <v>3</v>
      </c>
      <c r="D179" s="2">
        <v>9</v>
      </c>
      <c r="E179" s="2">
        <v>2</v>
      </c>
    </row>
    <row r="180" spans="1:5" x14ac:dyDescent="0.25">
      <c r="A180" s="2" t="s">
        <v>586</v>
      </c>
      <c r="B180" s="2">
        <v>2026</v>
      </c>
      <c r="C180" s="2">
        <v>4</v>
      </c>
      <c r="D180" s="2">
        <v>39</v>
      </c>
      <c r="E180" s="2">
        <v>6</v>
      </c>
    </row>
    <row r="181" spans="1:5" x14ac:dyDescent="0.25">
      <c r="A181" s="2" t="s">
        <v>589</v>
      </c>
      <c r="B181" s="2">
        <v>2026</v>
      </c>
      <c r="C181" s="2">
        <v>2</v>
      </c>
      <c r="D181" s="2">
        <v>35</v>
      </c>
      <c r="E181" s="2">
        <v>9</v>
      </c>
    </row>
    <row r="182" spans="1:5" x14ac:dyDescent="0.25">
      <c r="A182" s="2" t="s">
        <v>592</v>
      </c>
      <c r="B182" s="2">
        <v>2026</v>
      </c>
      <c r="C182" s="2">
        <v>2</v>
      </c>
      <c r="D182" s="2">
        <v>24</v>
      </c>
      <c r="E182" s="2">
        <v>9</v>
      </c>
    </row>
    <row r="183" spans="1:5" x14ac:dyDescent="0.25">
      <c r="A183" s="2" t="s">
        <v>595</v>
      </c>
      <c r="B183" s="2">
        <v>2026</v>
      </c>
      <c r="C183" s="2">
        <v>4</v>
      </c>
      <c r="D183" s="2">
        <v>45</v>
      </c>
      <c r="E183" s="2">
        <v>9</v>
      </c>
    </row>
    <row r="184" spans="1:5" x14ac:dyDescent="0.25">
      <c r="A184" s="2" t="s">
        <v>598</v>
      </c>
      <c r="B184" s="2">
        <v>2026</v>
      </c>
      <c r="C184" s="2">
        <v>4</v>
      </c>
      <c r="D184" s="2">
        <v>40</v>
      </c>
      <c r="E184" s="2">
        <v>7</v>
      </c>
    </row>
    <row r="185" spans="1:5" x14ac:dyDescent="0.25">
      <c r="A185" s="2" t="s">
        <v>601</v>
      </c>
      <c r="B185" s="2">
        <v>2026</v>
      </c>
      <c r="C185" s="2">
        <v>1</v>
      </c>
      <c r="D185" s="2">
        <v>11</v>
      </c>
      <c r="E185" s="2">
        <v>9</v>
      </c>
    </row>
    <row r="186" spans="1:5" x14ac:dyDescent="0.25">
      <c r="A186" s="2" t="s">
        <v>604</v>
      </c>
      <c r="B186" s="2">
        <v>2026</v>
      </c>
      <c r="C186" s="2">
        <v>4</v>
      </c>
      <c r="D186" s="2">
        <v>19</v>
      </c>
      <c r="E186" s="2">
        <v>9</v>
      </c>
    </row>
    <row r="187" spans="1:5" x14ac:dyDescent="0.25">
      <c r="A187" s="2" t="s">
        <v>606</v>
      </c>
      <c r="B187" s="2">
        <v>2026</v>
      </c>
      <c r="C187" s="2">
        <v>2</v>
      </c>
      <c r="D187" s="2">
        <v>36</v>
      </c>
      <c r="E187" s="2">
        <v>0</v>
      </c>
    </row>
    <row r="188" spans="1:5" x14ac:dyDescent="0.25">
      <c r="A188" s="2" t="s">
        <v>609</v>
      </c>
      <c r="B188" s="2">
        <v>2026</v>
      </c>
      <c r="C188" s="2">
        <v>3</v>
      </c>
      <c r="D188" s="2">
        <v>39</v>
      </c>
      <c r="E188" s="2">
        <v>8</v>
      </c>
    </row>
    <row r="189" spans="1:5" x14ac:dyDescent="0.25">
      <c r="A189" s="2" t="s">
        <v>611</v>
      </c>
      <c r="B189" s="2">
        <v>2026</v>
      </c>
      <c r="C189" s="2">
        <v>3</v>
      </c>
      <c r="D189" s="2">
        <v>54</v>
      </c>
      <c r="E189" s="2">
        <v>11</v>
      </c>
    </row>
    <row r="190" spans="1:5" x14ac:dyDescent="0.25">
      <c r="A190" s="2" t="s">
        <v>614</v>
      </c>
      <c r="B190" s="2">
        <v>2026</v>
      </c>
      <c r="C190" s="2">
        <v>5</v>
      </c>
      <c r="D190" s="2">
        <v>47</v>
      </c>
      <c r="E190" s="2">
        <v>5</v>
      </c>
    </row>
    <row r="191" spans="1:5" x14ac:dyDescent="0.25">
      <c r="A191" s="2" t="s">
        <v>617</v>
      </c>
      <c r="B191" s="2">
        <v>2026</v>
      </c>
      <c r="C191" s="2">
        <v>5</v>
      </c>
      <c r="D191" s="2">
        <v>43</v>
      </c>
      <c r="E191" s="2">
        <v>5</v>
      </c>
    </row>
    <row r="192" spans="1:5" x14ac:dyDescent="0.25">
      <c r="A192" s="2" t="s">
        <v>620</v>
      </c>
      <c r="B192" s="2">
        <v>2026</v>
      </c>
      <c r="C192" s="2">
        <v>2</v>
      </c>
      <c r="D192" s="2">
        <v>31</v>
      </c>
      <c r="E192" s="2">
        <v>3</v>
      </c>
    </row>
    <row r="193" spans="1:5" x14ac:dyDescent="0.25">
      <c r="A193" s="2" t="s">
        <v>623</v>
      </c>
      <c r="B193" s="2">
        <v>2026</v>
      </c>
      <c r="C193" s="2">
        <v>3</v>
      </c>
      <c r="D193" s="2">
        <v>16</v>
      </c>
      <c r="E193" s="2">
        <v>11</v>
      </c>
    </row>
    <row r="194" spans="1:5" x14ac:dyDescent="0.25">
      <c r="A194" s="2" t="s">
        <v>626</v>
      </c>
      <c r="B194" s="2">
        <v>2026</v>
      </c>
      <c r="C194" s="2">
        <v>3</v>
      </c>
      <c r="D194" s="2">
        <v>9</v>
      </c>
      <c r="E194" s="2">
        <v>12</v>
      </c>
    </row>
    <row r="195" spans="1:5" x14ac:dyDescent="0.25">
      <c r="A195" s="2" t="s">
        <v>629</v>
      </c>
      <c r="B195" s="2">
        <v>2026</v>
      </c>
      <c r="C195" s="2">
        <v>3</v>
      </c>
      <c r="D195" s="2">
        <v>32</v>
      </c>
      <c r="E195" s="2">
        <v>9</v>
      </c>
    </row>
    <row r="196" spans="1:5" x14ac:dyDescent="0.25">
      <c r="A196" s="2" t="s">
        <v>632</v>
      </c>
      <c r="B196" s="2">
        <v>2026</v>
      </c>
      <c r="C196" s="2">
        <v>2</v>
      </c>
      <c r="D196" s="2">
        <v>51</v>
      </c>
      <c r="E196" s="2">
        <v>7</v>
      </c>
    </row>
    <row r="197" spans="1:5" x14ac:dyDescent="0.25">
      <c r="A197" s="2" t="s">
        <v>635</v>
      </c>
      <c r="B197" s="2">
        <v>2026</v>
      </c>
      <c r="C197" s="2">
        <v>3</v>
      </c>
      <c r="D197" s="2">
        <v>2</v>
      </c>
      <c r="E197" s="2">
        <v>4</v>
      </c>
    </row>
    <row r="198" spans="1:5" x14ac:dyDescent="0.25">
      <c r="A198" s="2" t="s">
        <v>638</v>
      </c>
      <c r="B198" s="2">
        <v>2026</v>
      </c>
      <c r="C198" s="2">
        <v>2</v>
      </c>
      <c r="D198" s="2">
        <v>42</v>
      </c>
      <c r="E198" s="2">
        <v>6</v>
      </c>
    </row>
    <row r="199" spans="1:5" x14ac:dyDescent="0.25">
      <c r="A199" s="2" t="s">
        <v>641</v>
      </c>
      <c r="B199" s="2">
        <v>2026</v>
      </c>
      <c r="C199" s="2">
        <v>2</v>
      </c>
      <c r="D199" s="2">
        <v>2</v>
      </c>
      <c r="E199" s="2">
        <v>9</v>
      </c>
    </row>
    <row r="200" spans="1:5" x14ac:dyDescent="0.25">
      <c r="A200" s="2" t="s">
        <v>643</v>
      </c>
      <c r="B200" s="2">
        <v>2026</v>
      </c>
      <c r="C200" s="2">
        <v>5</v>
      </c>
      <c r="D200" s="2">
        <v>44</v>
      </c>
      <c r="E200" s="2">
        <v>11</v>
      </c>
    </row>
    <row r="201" spans="1:5" x14ac:dyDescent="0.25">
      <c r="A201" s="2" t="s">
        <v>646</v>
      </c>
      <c r="B201" s="2">
        <v>2026</v>
      </c>
      <c r="C201" s="2">
        <v>1</v>
      </c>
      <c r="D201" s="2">
        <v>43</v>
      </c>
      <c r="E201" s="2">
        <v>9</v>
      </c>
    </row>
    <row r="202" spans="1:5" x14ac:dyDescent="0.25">
      <c r="A202" s="2" t="s">
        <v>649</v>
      </c>
      <c r="B202" s="2">
        <v>2026</v>
      </c>
      <c r="C202" s="2">
        <v>3</v>
      </c>
      <c r="D202" s="2">
        <v>28</v>
      </c>
      <c r="E202" s="2">
        <v>12</v>
      </c>
    </row>
    <row r="203" spans="1:5" x14ac:dyDescent="0.25">
      <c r="A203" s="2" t="s">
        <v>652</v>
      </c>
      <c r="B203" s="2">
        <v>2026</v>
      </c>
      <c r="C203" s="2">
        <v>2</v>
      </c>
      <c r="D203" s="2">
        <v>45</v>
      </c>
      <c r="E203" s="2">
        <v>3</v>
      </c>
    </row>
    <row r="204" spans="1:5" x14ac:dyDescent="0.25">
      <c r="A204" s="2" t="s">
        <v>655</v>
      </c>
      <c r="B204" s="2">
        <v>2026</v>
      </c>
      <c r="C204" s="2">
        <v>2</v>
      </c>
      <c r="D204" s="2">
        <v>15</v>
      </c>
      <c r="E204" s="2">
        <v>10</v>
      </c>
    </row>
    <row r="205" spans="1:5" x14ac:dyDescent="0.25">
      <c r="A205" s="2" t="s">
        <v>658</v>
      </c>
      <c r="B205" s="2">
        <v>2026</v>
      </c>
      <c r="C205" s="2">
        <v>4</v>
      </c>
      <c r="D205" s="2">
        <v>50</v>
      </c>
      <c r="E205" s="2">
        <v>12</v>
      </c>
    </row>
    <row r="206" spans="1:5" x14ac:dyDescent="0.25">
      <c r="A206" s="2" t="s">
        <v>661</v>
      </c>
      <c r="B206" s="2">
        <v>2026</v>
      </c>
      <c r="C206" s="2">
        <v>4</v>
      </c>
      <c r="D206" s="2">
        <v>32</v>
      </c>
      <c r="E206" s="2">
        <v>8</v>
      </c>
    </row>
    <row r="207" spans="1:5" x14ac:dyDescent="0.25">
      <c r="A207" s="2" t="s">
        <v>664</v>
      </c>
      <c r="B207" s="2">
        <v>2026</v>
      </c>
      <c r="C207" s="2">
        <v>1</v>
      </c>
      <c r="D207" s="2">
        <v>34</v>
      </c>
      <c r="E207" s="2">
        <v>5</v>
      </c>
    </row>
    <row r="208" spans="1:5" x14ac:dyDescent="0.25">
      <c r="A208" s="2" t="s">
        <v>666</v>
      </c>
      <c r="B208" s="2">
        <v>2026</v>
      </c>
      <c r="C208" s="2">
        <v>3</v>
      </c>
      <c r="D208" s="2">
        <v>45</v>
      </c>
      <c r="E208" s="2">
        <v>11</v>
      </c>
    </row>
    <row r="209" spans="1:5" x14ac:dyDescent="0.25">
      <c r="A209" s="2" t="s">
        <v>669</v>
      </c>
      <c r="B209" s="2">
        <v>2026</v>
      </c>
      <c r="C209" s="2">
        <v>3</v>
      </c>
      <c r="D209" s="2">
        <v>52</v>
      </c>
      <c r="E209" s="2">
        <v>9</v>
      </c>
    </row>
    <row r="210" spans="1:5" x14ac:dyDescent="0.25">
      <c r="A210" s="2" t="s">
        <v>672</v>
      </c>
      <c r="B210" s="2">
        <v>2026</v>
      </c>
      <c r="C210" s="2">
        <v>2</v>
      </c>
      <c r="D210" s="2">
        <v>56</v>
      </c>
      <c r="E210" s="2">
        <v>5</v>
      </c>
    </row>
    <row r="211" spans="1:5" x14ac:dyDescent="0.25">
      <c r="A211" s="2" t="s">
        <v>674</v>
      </c>
      <c r="B211" s="2">
        <v>2026</v>
      </c>
      <c r="C211" s="2">
        <v>5</v>
      </c>
      <c r="D211" s="2">
        <v>57</v>
      </c>
      <c r="E211" s="2">
        <v>5</v>
      </c>
    </row>
    <row r="212" spans="1:5" x14ac:dyDescent="0.25">
      <c r="A212" s="2" t="s">
        <v>677</v>
      </c>
      <c r="B212" s="2">
        <v>2026</v>
      </c>
      <c r="C212" s="2">
        <v>1</v>
      </c>
      <c r="D212" s="2">
        <v>44</v>
      </c>
      <c r="E212" s="2">
        <v>12</v>
      </c>
    </row>
    <row r="213" spans="1:5" x14ac:dyDescent="0.25">
      <c r="A213" s="2" t="s">
        <v>680</v>
      </c>
      <c r="B213" s="2">
        <v>2026</v>
      </c>
      <c r="C213" s="2">
        <v>4</v>
      </c>
      <c r="D213" s="2">
        <v>0</v>
      </c>
      <c r="E213" s="2">
        <v>5</v>
      </c>
    </row>
    <row r="214" spans="1:5" x14ac:dyDescent="0.25">
      <c r="A214" s="2" t="s">
        <v>683</v>
      </c>
      <c r="B214" s="2">
        <v>2026</v>
      </c>
      <c r="C214" s="2">
        <v>3</v>
      </c>
      <c r="D214" s="2">
        <v>2</v>
      </c>
      <c r="E214" s="2">
        <v>10</v>
      </c>
    </row>
    <row r="215" spans="1:5" x14ac:dyDescent="0.25">
      <c r="A215" s="2" t="s">
        <v>686</v>
      </c>
      <c r="B215" s="2">
        <v>2026</v>
      </c>
      <c r="C215" s="2">
        <v>3</v>
      </c>
      <c r="D215" s="2">
        <v>32</v>
      </c>
      <c r="E215" s="2">
        <v>4</v>
      </c>
    </row>
    <row r="216" spans="1:5" x14ac:dyDescent="0.25">
      <c r="A216" s="2" t="s">
        <v>689</v>
      </c>
      <c r="B216" s="2">
        <v>2026</v>
      </c>
      <c r="C216" s="2">
        <v>5</v>
      </c>
      <c r="D216" s="2">
        <v>45</v>
      </c>
      <c r="E216" s="2">
        <v>8</v>
      </c>
    </row>
    <row r="217" spans="1:5" x14ac:dyDescent="0.25">
      <c r="A217" s="2" t="s">
        <v>692</v>
      </c>
      <c r="B217" s="2">
        <v>2026</v>
      </c>
      <c r="C217" s="2">
        <v>3</v>
      </c>
      <c r="D217" s="2">
        <v>32</v>
      </c>
      <c r="E217" s="2">
        <v>9</v>
      </c>
    </row>
    <row r="218" spans="1:5" x14ac:dyDescent="0.25">
      <c r="A218" s="2" t="s">
        <v>695</v>
      </c>
      <c r="B218" s="2">
        <v>2026</v>
      </c>
      <c r="C218" s="2">
        <v>1</v>
      </c>
      <c r="D218" s="2">
        <v>47</v>
      </c>
      <c r="E218" s="2">
        <v>9</v>
      </c>
    </row>
    <row r="219" spans="1:5" x14ac:dyDescent="0.25">
      <c r="A219" s="2" t="s">
        <v>697</v>
      </c>
      <c r="B219" s="2">
        <v>2026</v>
      </c>
      <c r="C219" s="2">
        <v>3</v>
      </c>
      <c r="D219" s="2">
        <v>30</v>
      </c>
      <c r="E219" s="2">
        <v>9</v>
      </c>
    </row>
    <row r="220" spans="1:5" x14ac:dyDescent="0.25">
      <c r="A220" s="2" t="s">
        <v>700</v>
      </c>
      <c r="B220" s="2">
        <v>2026</v>
      </c>
      <c r="C220" s="2">
        <v>5</v>
      </c>
      <c r="D220" s="2">
        <v>48</v>
      </c>
      <c r="E220" s="2">
        <v>11</v>
      </c>
    </row>
    <row r="221" spans="1:5" x14ac:dyDescent="0.25">
      <c r="A221" s="2" t="s">
        <v>703</v>
      </c>
      <c r="B221" s="2">
        <v>2026</v>
      </c>
      <c r="C221" s="2">
        <v>2</v>
      </c>
      <c r="D221" s="2">
        <v>46</v>
      </c>
      <c r="E221" s="2">
        <v>7</v>
      </c>
    </row>
    <row r="222" spans="1:5" x14ac:dyDescent="0.25">
      <c r="A222" s="2" t="s">
        <v>705</v>
      </c>
      <c r="B222" s="2">
        <v>2026</v>
      </c>
      <c r="C222" s="2">
        <v>5</v>
      </c>
      <c r="D222" s="2">
        <v>59</v>
      </c>
      <c r="E222" s="2">
        <v>3</v>
      </c>
    </row>
    <row r="223" spans="1:5" x14ac:dyDescent="0.25">
      <c r="A223" s="2" t="s">
        <v>707</v>
      </c>
      <c r="B223" s="2">
        <v>2026</v>
      </c>
      <c r="C223" s="2">
        <v>5</v>
      </c>
      <c r="D223" s="2">
        <v>0</v>
      </c>
      <c r="E223" s="2">
        <v>3</v>
      </c>
    </row>
    <row r="224" spans="1:5" x14ac:dyDescent="0.25">
      <c r="A224" s="2" t="s">
        <v>710</v>
      </c>
      <c r="B224" s="2">
        <v>2026</v>
      </c>
      <c r="C224" s="2">
        <v>5</v>
      </c>
      <c r="D224" s="2">
        <v>40</v>
      </c>
      <c r="E224" s="2">
        <v>2</v>
      </c>
    </row>
    <row r="225" spans="1:5" x14ac:dyDescent="0.25">
      <c r="A225" s="2" t="s">
        <v>713</v>
      </c>
      <c r="B225" s="2">
        <v>2026</v>
      </c>
      <c r="C225" s="2">
        <v>1</v>
      </c>
      <c r="D225" s="2">
        <v>54</v>
      </c>
      <c r="E225" s="2">
        <v>6</v>
      </c>
    </row>
    <row r="226" spans="1:5" x14ac:dyDescent="0.25">
      <c r="A226" s="2" t="s">
        <v>716</v>
      </c>
      <c r="B226" s="2">
        <v>2026</v>
      </c>
      <c r="C226" s="2">
        <v>5</v>
      </c>
      <c r="D226" s="2">
        <v>51</v>
      </c>
      <c r="E226" s="2">
        <v>3</v>
      </c>
    </row>
    <row r="227" spans="1:5" x14ac:dyDescent="0.25">
      <c r="A227" s="2" t="s">
        <v>719</v>
      </c>
      <c r="B227" s="2">
        <v>2026</v>
      </c>
      <c r="C227" s="2">
        <v>2</v>
      </c>
      <c r="D227" s="2">
        <v>60</v>
      </c>
      <c r="E227" s="2">
        <v>2</v>
      </c>
    </row>
    <row r="228" spans="1:5" x14ac:dyDescent="0.25">
      <c r="A228" s="2" t="s">
        <v>722</v>
      </c>
      <c r="B228" s="2">
        <v>2026</v>
      </c>
      <c r="C228" s="2">
        <v>4</v>
      </c>
      <c r="D228" s="2">
        <v>8</v>
      </c>
      <c r="E228" s="2">
        <v>0</v>
      </c>
    </row>
    <row r="229" spans="1:5" x14ac:dyDescent="0.25">
      <c r="A229" s="2" t="s">
        <v>725</v>
      </c>
      <c r="B229" s="2">
        <v>2026</v>
      </c>
      <c r="C229" s="2">
        <v>5</v>
      </c>
      <c r="D229" s="2">
        <v>32</v>
      </c>
      <c r="E229" s="2">
        <v>0</v>
      </c>
    </row>
    <row r="230" spans="1:5" x14ac:dyDescent="0.25">
      <c r="A230" s="2" t="s">
        <v>728</v>
      </c>
      <c r="B230" s="2">
        <v>2026</v>
      </c>
      <c r="C230" s="2">
        <v>4</v>
      </c>
      <c r="D230" s="2">
        <v>1</v>
      </c>
      <c r="E230" s="2">
        <v>2</v>
      </c>
    </row>
    <row r="231" spans="1:5" x14ac:dyDescent="0.25">
      <c r="A231" s="2" t="s">
        <v>731</v>
      </c>
      <c r="B231" s="2">
        <v>2026</v>
      </c>
      <c r="C231" s="2">
        <v>5</v>
      </c>
      <c r="D231" s="2">
        <v>46</v>
      </c>
      <c r="E231" s="2">
        <v>8</v>
      </c>
    </row>
    <row r="232" spans="1:5" x14ac:dyDescent="0.25">
      <c r="A232" s="2" t="s">
        <v>734</v>
      </c>
      <c r="B232" s="2">
        <v>2026</v>
      </c>
      <c r="C232" s="2">
        <v>2</v>
      </c>
      <c r="D232" s="2">
        <v>60</v>
      </c>
      <c r="E232" s="2">
        <v>3</v>
      </c>
    </row>
    <row r="233" spans="1:5" x14ac:dyDescent="0.25">
      <c r="A233" s="2" t="s">
        <v>737</v>
      </c>
      <c r="B233" s="2">
        <v>2026</v>
      </c>
      <c r="C233" s="2">
        <v>2</v>
      </c>
      <c r="D233" s="2">
        <v>28</v>
      </c>
      <c r="E233" s="2">
        <v>0</v>
      </c>
    </row>
    <row r="234" spans="1:5" x14ac:dyDescent="0.25">
      <c r="A234" s="2" t="s">
        <v>740</v>
      </c>
      <c r="B234" s="2">
        <v>2026</v>
      </c>
      <c r="C234" s="2">
        <v>2</v>
      </c>
      <c r="D234" s="2">
        <v>18</v>
      </c>
      <c r="E234" s="2">
        <v>9</v>
      </c>
    </row>
    <row r="235" spans="1:5" x14ac:dyDescent="0.25">
      <c r="A235" s="2" t="s">
        <v>743</v>
      </c>
      <c r="B235" s="2">
        <v>2026</v>
      </c>
      <c r="C235" s="2">
        <v>4</v>
      </c>
      <c r="D235" s="2">
        <v>11</v>
      </c>
      <c r="E235" s="2">
        <v>10</v>
      </c>
    </row>
    <row r="236" spans="1:5" x14ac:dyDescent="0.25">
      <c r="A236" s="2" t="s">
        <v>746</v>
      </c>
      <c r="B236" s="2">
        <v>2026</v>
      </c>
      <c r="C236" s="2">
        <v>5</v>
      </c>
      <c r="D236" s="2">
        <v>55</v>
      </c>
      <c r="E236" s="2">
        <v>0</v>
      </c>
    </row>
    <row r="237" spans="1:5" x14ac:dyDescent="0.25">
      <c r="A237" s="2" t="s">
        <v>749</v>
      </c>
      <c r="B237" s="2">
        <v>2026</v>
      </c>
      <c r="C237" s="2">
        <v>4</v>
      </c>
      <c r="D237" s="2">
        <v>26</v>
      </c>
      <c r="E237" s="2">
        <v>11</v>
      </c>
    </row>
    <row r="238" spans="1:5" x14ac:dyDescent="0.25">
      <c r="A238" s="2" t="s">
        <v>752</v>
      </c>
      <c r="B238" s="2">
        <v>2026</v>
      </c>
      <c r="C238" s="2">
        <v>4</v>
      </c>
      <c r="D238" s="2">
        <v>9</v>
      </c>
      <c r="E238" s="2">
        <v>2</v>
      </c>
    </row>
    <row r="239" spans="1:5" x14ac:dyDescent="0.25">
      <c r="A239" s="2" t="s">
        <v>755</v>
      </c>
      <c r="B239" s="2">
        <v>2026</v>
      </c>
      <c r="C239" s="2">
        <v>4</v>
      </c>
      <c r="D239" s="2">
        <v>53</v>
      </c>
      <c r="E239" s="2">
        <v>12</v>
      </c>
    </row>
    <row r="240" spans="1:5" x14ac:dyDescent="0.25">
      <c r="A240" s="2" t="s">
        <v>758</v>
      </c>
      <c r="B240" s="2">
        <v>2026</v>
      </c>
      <c r="C240" s="2">
        <v>2</v>
      </c>
      <c r="D240" s="2">
        <v>10</v>
      </c>
      <c r="E240" s="2">
        <v>4</v>
      </c>
    </row>
    <row r="241" spans="1:5" x14ac:dyDescent="0.25">
      <c r="A241" s="2" t="s">
        <v>761</v>
      </c>
      <c r="B241" s="2">
        <v>2026</v>
      </c>
      <c r="C241" s="2">
        <v>2</v>
      </c>
      <c r="D241" s="2">
        <v>9</v>
      </c>
      <c r="E241" s="2">
        <v>7</v>
      </c>
    </row>
    <row r="242" spans="1:5" x14ac:dyDescent="0.25">
      <c r="A242" s="2" t="s">
        <v>764</v>
      </c>
      <c r="B242" s="2">
        <v>2026</v>
      </c>
      <c r="C242" s="2">
        <v>2</v>
      </c>
      <c r="D242" s="2">
        <v>26</v>
      </c>
      <c r="E242" s="2">
        <v>1</v>
      </c>
    </row>
    <row r="243" spans="1:5" x14ac:dyDescent="0.25">
      <c r="A243" s="2" t="s">
        <v>767</v>
      </c>
      <c r="B243" s="2">
        <v>2026</v>
      </c>
      <c r="C243" s="2">
        <v>2</v>
      </c>
      <c r="D243" s="2">
        <v>6</v>
      </c>
      <c r="E243" s="2">
        <v>9</v>
      </c>
    </row>
    <row r="244" spans="1:5" x14ac:dyDescent="0.25">
      <c r="A244" s="2" t="s">
        <v>770</v>
      </c>
      <c r="B244" s="2">
        <v>2026</v>
      </c>
      <c r="C244" s="2">
        <v>1</v>
      </c>
      <c r="D244" s="2">
        <v>8</v>
      </c>
      <c r="E244" s="2">
        <v>3</v>
      </c>
    </row>
    <row r="245" spans="1:5" x14ac:dyDescent="0.25">
      <c r="A245" s="2" t="s">
        <v>773</v>
      </c>
      <c r="B245" s="2">
        <v>2026</v>
      </c>
      <c r="C245" s="2">
        <v>4</v>
      </c>
      <c r="D245" s="2">
        <v>50</v>
      </c>
      <c r="E245" s="2">
        <v>0</v>
      </c>
    </row>
    <row r="246" spans="1:5" x14ac:dyDescent="0.25">
      <c r="A246" s="2" t="s">
        <v>775</v>
      </c>
      <c r="B246" s="2">
        <v>2026</v>
      </c>
      <c r="C246" s="2">
        <v>1</v>
      </c>
      <c r="D246" s="2">
        <v>21</v>
      </c>
      <c r="E246" s="2">
        <v>3</v>
      </c>
    </row>
    <row r="247" spans="1:5" x14ac:dyDescent="0.25">
      <c r="A247" s="2" t="s">
        <v>777</v>
      </c>
      <c r="B247" s="2">
        <v>2026</v>
      </c>
      <c r="C247" s="2">
        <v>4</v>
      </c>
      <c r="D247" s="2">
        <v>13</v>
      </c>
      <c r="E247" s="2">
        <v>2</v>
      </c>
    </row>
    <row r="248" spans="1:5" x14ac:dyDescent="0.25">
      <c r="A248" s="2" t="s">
        <v>780</v>
      </c>
      <c r="B248" s="2">
        <v>2026</v>
      </c>
      <c r="C248" s="2">
        <v>3</v>
      </c>
      <c r="D248" s="2">
        <v>41</v>
      </c>
      <c r="E248" s="2">
        <v>12</v>
      </c>
    </row>
    <row r="249" spans="1:5" x14ac:dyDescent="0.25">
      <c r="A249" s="2" t="s">
        <v>783</v>
      </c>
      <c r="B249" s="2">
        <v>2026</v>
      </c>
      <c r="C249" s="2">
        <v>5</v>
      </c>
      <c r="D249" s="2">
        <v>58</v>
      </c>
      <c r="E249" s="2">
        <v>0</v>
      </c>
    </row>
    <row r="250" spans="1:5" x14ac:dyDescent="0.25">
      <c r="A250" s="2" t="s">
        <v>786</v>
      </c>
      <c r="B250" s="2">
        <v>2026</v>
      </c>
      <c r="C250" s="2">
        <v>5</v>
      </c>
      <c r="D250" s="2">
        <v>34</v>
      </c>
      <c r="E250" s="2">
        <v>6</v>
      </c>
    </row>
    <row r="251" spans="1:5" x14ac:dyDescent="0.25">
      <c r="A251" s="2" t="s">
        <v>788</v>
      </c>
      <c r="B251" s="2">
        <v>2026</v>
      </c>
      <c r="C251" s="2">
        <v>5</v>
      </c>
      <c r="D251" s="2">
        <v>11</v>
      </c>
      <c r="E251" s="2">
        <v>6</v>
      </c>
    </row>
    <row r="252" spans="1:5" x14ac:dyDescent="0.25">
      <c r="A252" s="2" t="s">
        <v>791</v>
      </c>
      <c r="B252" s="2">
        <v>2026</v>
      </c>
      <c r="C252" s="2">
        <v>4</v>
      </c>
      <c r="D252" s="2">
        <v>29</v>
      </c>
      <c r="E252" s="2">
        <v>3</v>
      </c>
    </row>
    <row r="253" spans="1:5" x14ac:dyDescent="0.25">
      <c r="A253" s="2" t="s">
        <v>794</v>
      </c>
      <c r="B253" s="2">
        <v>2026</v>
      </c>
      <c r="C253" s="2">
        <v>3</v>
      </c>
      <c r="D253" s="2">
        <v>20</v>
      </c>
      <c r="E253" s="2">
        <v>4</v>
      </c>
    </row>
    <row r="254" spans="1:5" x14ac:dyDescent="0.25">
      <c r="A254" s="2" t="s">
        <v>796</v>
      </c>
      <c r="B254" s="2">
        <v>2026</v>
      </c>
      <c r="C254" s="2">
        <v>1</v>
      </c>
      <c r="D254" s="2">
        <v>32</v>
      </c>
      <c r="E254" s="2">
        <v>5</v>
      </c>
    </row>
    <row r="255" spans="1:5" x14ac:dyDescent="0.25">
      <c r="A255" s="2" t="s">
        <v>799</v>
      </c>
      <c r="B255" s="2">
        <v>2026</v>
      </c>
      <c r="C255" s="2">
        <v>5</v>
      </c>
      <c r="D255" s="2">
        <v>2</v>
      </c>
      <c r="E255" s="2">
        <v>11</v>
      </c>
    </row>
    <row r="256" spans="1:5" x14ac:dyDescent="0.25">
      <c r="A256" s="2" t="s">
        <v>802</v>
      </c>
      <c r="B256" s="2">
        <v>2026</v>
      </c>
      <c r="C256" s="2">
        <v>1</v>
      </c>
      <c r="D256" s="2">
        <v>50</v>
      </c>
      <c r="E256" s="2">
        <v>7</v>
      </c>
    </row>
    <row r="257" spans="1:5" x14ac:dyDescent="0.25">
      <c r="A257" s="2" t="s">
        <v>805</v>
      </c>
      <c r="B257" s="2">
        <v>2026</v>
      </c>
      <c r="C257" s="2">
        <v>4</v>
      </c>
      <c r="D257" s="2">
        <v>43</v>
      </c>
      <c r="E257" s="2">
        <v>6</v>
      </c>
    </row>
    <row r="258" spans="1:5" x14ac:dyDescent="0.25">
      <c r="A258" s="2" t="s">
        <v>808</v>
      </c>
      <c r="B258" s="2">
        <v>2026</v>
      </c>
      <c r="C258" s="2">
        <v>3</v>
      </c>
      <c r="D258" s="2">
        <v>55</v>
      </c>
      <c r="E258" s="2">
        <v>5</v>
      </c>
    </row>
    <row r="259" spans="1:5" x14ac:dyDescent="0.25">
      <c r="A259" s="2" t="s">
        <v>811</v>
      </c>
      <c r="B259" s="2">
        <v>2026</v>
      </c>
      <c r="C259" s="2">
        <v>2</v>
      </c>
      <c r="D259" s="2">
        <v>56</v>
      </c>
      <c r="E259" s="2">
        <v>9</v>
      </c>
    </row>
    <row r="260" spans="1:5" x14ac:dyDescent="0.25">
      <c r="A260" s="2" t="s">
        <v>814</v>
      </c>
      <c r="B260" s="2">
        <v>2026</v>
      </c>
      <c r="C260" s="2">
        <v>1</v>
      </c>
      <c r="D260" s="2">
        <v>2</v>
      </c>
      <c r="E260" s="2">
        <v>4</v>
      </c>
    </row>
    <row r="261" spans="1:5" x14ac:dyDescent="0.25">
      <c r="A261" s="2" t="s">
        <v>817</v>
      </c>
      <c r="B261" s="2">
        <v>2026</v>
      </c>
      <c r="C261" s="2">
        <v>3</v>
      </c>
      <c r="D261" s="2">
        <v>12</v>
      </c>
      <c r="E261" s="2">
        <v>12</v>
      </c>
    </row>
    <row r="262" spans="1:5" x14ac:dyDescent="0.25">
      <c r="A262" s="2" t="s">
        <v>819</v>
      </c>
      <c r="B262" s="2">
        <v>2026</v>
      </c>
      <c r="C262" s="2">
        <v>4</v>
      </c>
      <c r="D262" s="2">
        <v>38</v>
      </c>
      <c r="E262" s="2">
        <v>3</v>
      </c>
    </row>
    <row r="263" spans="1:5" x14ac:dyDescent="0.25">
      <c r="A263" s="2" t="s">
        <v>822</v>
      </c>
      <c r="B263" s="2">
        <v>2026</v>
      </c>
      <c r="C263" s="2">
        <v>2</v>
      </c>
      <c r="D263" s="2">
        <v>29</v>
      </c>
      <c r="E263" s="2">
        <v>3</v>
      </c>
    </row>
    <row r="264" spans="1:5" x14ac:dyDescent="0.25">
      <c r="A264" s="2" t="s">
        <v>824</v>
      </c>
      <c r="B264" s="2">
        <v>2026</v>
      </c>
      <c r="C264" s="2">
        <v>5</v>
      </c>
      <c r="D264" s="2">
        <v>45</v>
      </c>
      <c r="E264" s="2">
        <v>3</v>
      </c>
    </row>
    <row r="265" spans="1:5" x14ac:dyDescent="0.25">
      <c r="A265" s="2" t="s">
        <v>827</v>
      </c>
      <c r="B265" s="2">
        <v>2026</v>
      </c>
      <c r="C265" s="2">
        <v>2</v>
      </c>
      <c r="D265" s="2">
        <v>57</v>
      </c>
      <c r="E265" s="2">
        <v>0</v>
      </c>
    </row>
    <row r="266" spans="1:5" x14ac:dyDescent="0.25">
      <c r="A266" s="2" t="s">
        <v>830</v>
      </c>
      <c r="B266" s="2">
        <v>2026</v>
      </c>
      <c r="C266" s="2">
        <v>2</v>
      </c>
      <c r="D266" s="2">
        <v>47</v>
      </c>
      <c r="E266" s="2">
        <v>6</v>
      </c>
    </row>
    <row r="267" spans="1:5" x14ac:dyDescent="0.25">
      <c r="A267" s="2" t="s">
        <v>833</v>
      </c>
      <c r="B267" s="2">
        <v>2026</v>
      </c>
      <c r="C267" s="2">
        <v>4</v>
      </c>
      <c r="D267" s="2">
        <v>52</v>
      </c>
      <c r="E267" s="2">
        <v>4</v>
      </c>
    </row>
    <row r="268" spans="1:5" x14ac:dyDescent="0.25">
      <c r="A268" s="2" t="s">
        <v>836</v>
      </c>
      <c r="B268" s="2">
        <v>2026</v>
      </c>
      <c r="C268" s="2">
        <v>4</v>
      </c>
      <c r="D268" s="2">
        <v>47</v>
      </c>
      <c r="E268" s="2">
        <v>0</v>
      </c>
    </row>
    <row r="269" spans="1:5" x14ac:dyDescent="0.25">
      <c r="A269" s="2" t="s">
        <v>839</v>
      </c>
      <c r="B269" s="2">
        <v>2026</v>
      </c>
      <c r="C269" s="2">
        <v>2</v>
      </c>
      <c r="D269" s="2">
        <v>23</v>
      </c>
      <c r="E269" s="2">
        <v>11</v>
      </c>
    </row>
    <row r="270" spans="1:5" x14ac:dyDescent="0.25">
      <c r="A270" s="2" t="s">
        <v>842</v>
      </c>
      <c r="B270" s="2">
        <v>2026</v>
      </c>
      <c r="C270" s="2">
        <v>1</v>
      </c>
      <c r="D270" s="2">
        <v>40</v>
      </c>
      <c r="E270" s="2">
        <v>6</v>
      </c>
    </row>
    <row r="271" spans="1:5" x14ac:dyDescent="0.25">
      <c r="A271" s="2" t="s">
        <v>845</v>
      </c>
      <c r="B271" s="2">
        <v>2026</v>
      </c>
      <c r="C271" s="2">
        <v>4</v>
      </c>
      <c r="D271" s="2">
        <v>19</v>
      </c>
      <c r="E271" s="2">
        <v>6</v>
      </c>
    </row>
    <row r="272" spans="1:5" x14ac:dyDescent="0.25">
      <c r="A272" s="2" t="s">
        <v>848</v>
      </c>
      <c r="B272" s="2">
        <v>2026</v>
      </c>
      <c r="C272" s="2">
        <v>5</v>
      </c>
      <c r="D272" s="2">
        <v>25</v>
      </c>
      <c r="E272" s="2">
        <v>6</v>
      </c>
    </row>
    <row r="273" spans="1:5" x14ac:dyDescent="0.25">
      <c r="A273" s="2" t="s">
        <v>851</v>
      </c>
      <c r="B273" s="2">
        <v>2026</v>
      </c>
      <c r="C273" s="2">
        <v>4</v>
      </c>
      <c r="D273" s="2">
        <v>5</v>
      </c>
      <c r="E273" s="2">
        <v>6</v>
      </c>
    </row>
    <row r="274" spans="1:5" x14ac:dyDescent="0.25">
      <c r="A274" s="2" t="s">
        <v>854</v>
      </c>
      <c r="B274" s="2">
        <v>2026</v>
      </c>
      <c r="C274" s="2">
        <v>2</v>
      </c>
      <c r="D274" s="2">
        <v>53</v>
      </c>
      <c r="E274" s="2">
        <v>11</v>
      </c>
    </row>
    <row r="275" spans="1:5" x14ac:dyDescent="0.25">
      <c r="A275" s="2" t="s">
        <v>857</v>
      </c>
      <c r="B275" s="2">
        <v>2026</v>
      </c>
      <c r="C275" s="2">
        <v>4</v>
      </c>
      <c r="D275" s="2">
        <v>6</v>
      </c>
      <c r="E275" s="2">
        <v>0</v>
      </c>
    </row>
    <row r="276" spans="1:5" x14ac:dyDescent="0.25">
      <c r="A276" s="2" t="s">
        <v>860</v>
      </c>
      <c r="B276" s="2">
        <v>2026</v>
      </c>
      <c r="C276" s="2">
        <v>4</v>
      </c>
      <c r="D276" s="2">
        <v>6</v>
      </c>
      <c r="E276" s="2">
        <v>4</v>
      </c>
    </row>
    <row r="277" spans="1:5" x14ac:dyDescent="0.25">
      <c r="A277" s="2" t="s">
        <v>863</v>
      </c>
      <c r="B277" s="2">
        <v>2026</v>
      </c>
      <c r="C277" s="2">
        <v>2</v>
      </c>
      <c r="D277" s="2">
        <v>8</v>
      </c>
      <c r="E277" s="2">
        <v>5</v>
      </c>
    </row>
    <row r="278" spans="1:5" x14ac:dyDescent="0.25">
      <c r="A278" s="2" t="s">
        <v>866</v>
      </c>
      <c r="B278" s="2">
        <v>2026</v>
      </c>
      <c r="C278" s="2">
        <v>2</v>
      </c>
      <c r="D278" s="2">
        <v>51</v>
      </c>
      <c r="E278" s="2">
        <v>7</v>
      </c>
    </row>
    <row r="279" spans="1:5" x14ac:dyDescent="0.25">
      <c r="A279" s="2" t="s">
        <v>869</v>
      </c>
      <c r="B279" s="2">
        <v>2026</v>
      </c>
      <c r="C279" s="2">
        <v>2</v>
      </c>
      <c r="D279" s="2">
        <v>33</v>
      </c>
      <c r="E279" s="2">
        <v>0</v>
      </c>
    </row>
    <row r="280" spans="1:5" x14ac:dyDescent="0.25">
      <c r="A280" s="2" t="s">
        <v>872</v>
      </c>
      <c r="B280" s="2">
        <v>2026</v>
      </c>
      <c r="C280" s="2">
        <v>2</v>
      </c>
      <c r="D280" s="2">
        <v>31</v>
      </c>
      <c r="E280" s="2">
        <v>3</v>
      </c>
    </row>
    <row r="281" spans="1:5" x14ac:dyDescent="0.25">
      <c r="A281" s="2" t="s">
        <v>875</v>
      </c>
      <c r="B281" s="2">
        <v>2026</v>
      </c>
      <c r="C281" s="2">
        <v>1</v>
      </c>
      <c r="D281" s="2">
        <v>13</v>
      </c>
      <c r="E281" s="2">
        <v>0</v>
      </c>
    </row>
    <row r="282" spans="1:5" x14ac:dyDescent="0.25">
      <c r="A282" s="2" t="s">
        <v>878</v>
      </c>
      <c r="B282" s="2">
        <v>2026</v>
      </c>
      <c r="C282" s="2">
        <v>1</v>
      </c>
      <c r="D282" s="2">
        <v>47</v>
      </c>
      <c r="E282" s="2">
        <v>4</v>
      </c>
    </row>
    <row r="283" spans="1:5" x14ac:dyDescent="0.25">
      <c r="A283" s="2" t="s">
        <v>881</v>
      </c>
      <c r="B283" s="2">
        <v>2026</v>
      </c>
      <c r="C283" s="2">
        <v>1</v>
      </c>
      <c r="D283" s="2">
        <v>17</v>
      </c>
      <c r="E283" s="2">
        <v>11</v>
      </c>
    </row>
    <row r="284" spans="1:5" x14ac:dyDescent="0.25">
      <c r="A284" s="2" t="s">
        <v>884</v>
      </c>
      <c r="B284" s="2">
        <v>2026</v>
      </c>
      <c r="C284" s="2">
        <v>5</v>
      </c>
      <c r="D284" s="2">
        <v>1</v>
      </c>
      <c r="E284" s="2">
        <v>8</v>
      </c>
    </row>
    <row r="285" spans="1:5" x14ac:dyDescent="0.25">
      <c r="A285" s="2" t="s">
        <v>887</v>
      </c>
      <c r="B285" s="2">
        <v>2026</v>
      </c>
      <c r="C285" s="2">
        <v>2</v>
      </c>
      <c r="D285" s="2">
        <v>58</v>
      </c>
      <c r="E285" s="2">
        <v>6</v>
      </c>
    </row>
    <row r="286" spans="1:5" x14ac:dyDescent="0.25">
      <c r="A286" s="2" t="s">
        <v>889</v>
      </c>
      <c r="B286" s="2">
        <v>2026</v>
      </c>
      <c r="C286" s="2">
        <v>3</v>
      </c>
      <c r="D286" s="2">
        <v>37</v>
      </c>
      <c r="E286" s="2">
        <v>3</v>
      </c>
    </row>
    <row r="287" spans="1:5" x14ac:dyDescent="0.25">
      <c r="A287" s="2" t="s">
        <v>892</v>
      </c>
      <c r="B287" s="2">
        <v>2026</v>
      </c>
      <c r="C287" s="2">
        <v>3</v>
      </c>
      <c r="D287" s="2">
        <v>14</v>
      </c>
      <c r="E287" s="2">
        <v>2</v>
      </c>
    </row>
    <row r="288" spans="1:5" x14ac:dyDescent="0.25">
      <c r="A288" s="2" t="s">
        <v>895</v>
      </c>
      <c r="B288" s="2">
        <v>2026</v>
      </c>
      <c r="C288" s="2">
        <v>1</v>
      </c>
      <c r="D288" s="2">
        <v>22</v>
      </c>
      <c r="E288" s="2">
        <v>10</v>
      </c>
    </row>
    <row r="289" spans="1:5" x14ac:dyDescent="0.25">
      <c r="A289" s="2" t="s">
        <v>898</v>
      </c>
      <c r="B289" s="2">
        <v>2026</v>
      </c>
      <c r="C289" s="2">
        <v>4</v>
      </c>
      <c r="D289" s="2">
        <v>30</v>
      </c>
      <c r="E289" s="2">
        <v>10</v>
      </c>
    </row>
    <row r="290" spans="1:5" x14ac:dyDescent="0.25">
      <c r="A290" s="2" t="s">
        <v>901</v>
      </c>
      <c r="B290" s="2">
        <v>2026</v>
      </c>
      <c r="C290" s="2">
        <v>1</v>
      </c>
      <c r="D290" s="2">
        <v>44</v>
      </c>
      <c r="E290" s="2">
        <v>11</v>
      </c>
    </row>
    <row r="291" spans="1:5" x14ac:dyDescent="0.25">
      <c r="A291" s="2" t="s">
        <v>904</v>
      </c>
      <c r="B291" s="2">
        <v>2026</v>
      </c>
      <c r="C291" s="2">
        <v>5</v>
      </c>
      <c r="D291" s="2">
        <v>48</v>
      </c>
      <c r="E291" s="2">
        <v>12</v>
      </c>
    </row>
    <row r="292" spans="1:5" x14ac:dyDescent="0.25">
      <c r="A292" s="2" t="s">
        <v>907</v>
      </c>
      <c r="B292" s="2">
        <v>2026</v>
      </c>
      <c r="C292" s="2">
        <v>3</v>
      </c>
      <c r="D292" s="2">
        <v>39</v>
      </c>
      <c r="E292" s="2">
        <v>9</v>
      </c>
    </row>
    <row r="293" spans="1:5" x14ac:dyDescent="0.25">
      <c r="A293" s="2" t="s">
        <v>910</v>
      </c>
      <c r="B293" s="2">
        <v>2026</v>
      </c>
      <c r="C293" s="2">
        <v>3</v>
      </c>
      <c r="D293" s="2">
        <v>28</v>
      </c>
      <c r="E293" s="2">
        <v>8</v>
      </c>
    </row>
    <row r="294" spans="1:5" x14ac:dyDescent="0.25">
      <c r="A294" s="2" t="s">
        <v>913</v>
      </c>
      <c r="B294" s="2">
        <v>2026</v>
      </c>
      <c r="C294" s="2">
        <v>5</v>
      </c>
      <c r="D294" s="2">
        <v>2</v>
      </c>
      <c r="E294" s="2">
        <v>1</v>
      </c>
    </row>
    <row r="295" spans="1:5" x14ac:dyDescent="0.25">
      <c r="A295" s="2" t="s">
        <v>916</v>
      </c>
      <c r="B295" s="2">
        <v>2026</v>
      </c>
      <c r="C295" s="2">
        <v>3</v>
      </c>
      <c r="D295" s="2">
        <v>24</v>
      </c>
      <c r="E295" s="2">
        <v>5</v>
      </c>
    </row>
    <row r="296" spans="1:5" x14ac:dyDescent="0.25">
      <c r="A296" s="2" t="s">
        <v>919</v>
      </c>
      <c r="B296" s="2">
        <v>2026</v>
      </c>
      <c r="C296" s="2">
        <v>3</v>
      </c>
      <c r="D296" s="2">
        <v>4</v>
      </c>
      <c r="E296" s="2">
        <v>8</v>
      </c>
    </row>
    <row r="297" spans="1:5" x14ac:dyDescent="0.25">
      <c r="A297" s="2" t="s">
        <v>922</v>
      </c>
      <c r="B297" s="2">
        <v>2026</v>
      </c>
      <c r="C297" s="2">
        <v>3</v>
      </c>
      <c r="D297" s="2">
        <v>29</v>
      </c>
      <c r="E297" s="2">
        <v>0</v>
      </c>
    </row>
    <row r="298" spans="1:5" x14ac:dyDescent="0.25">
      <c r="A298" s="2" t="s">
        <v>925</v>
      </c>
      <c r="B298" s="2">
        <v>2026</v>
      </c>
      <c r="C298" s="2">
        <v>3</v>
      </c>
      <c r="D298" s="2">
        <v>41</v>
      </c>
      <c r="E298" s="2">
        <v>6</v>
      </c>
    </row>
    <row r="299" spans="1:5" x14ac:dyDescent="0.25">
      <c r="A299" s="2" t="s">
        <v>928</v>
      </c>
      <c r="B299" s="2">
        <v>2026</v>
      </c>
      <c r="C299" s="2">
        <v>3</v>
      </c>
      <c r="D299" s="2">
        <v>21</v>
      </c>
      <c r="E299" s="2">
        <v>10</v>
      </c>
    </row>
    <row r="300" spans="1:5" x14ac:dyDescent="0.25">
      <c r="A300" s="2" t="s">
        <v>931</v>
      </c>
      <c r="B300" s="2">
        <v>2026</v>
      </c>
      <c r="C300" s="2">
        <v>5</v>
      </c>
      <c r="D300" s="2">
        <v>31</v>
      </c>
      <c r="E300" s="2">
        <v>0</v>
      </c>
    </row>
    <row r="301" spans="1:5" x14ac:dyDescent="0.25">
      <c r="A301" s="2" t="s">
        <v>934</v>
      </c>
      <c r="B301" s="2">
        <v>2026</v>
      </c>
      <c r="C301" s="2">
        <v>1</v>
      </c>
      <c r="D301" s="2">
        <v>48</v>
      </c>
      <c r="E301" s="2">
        <v>8</v>
      </c>
    </row>
    <row r="302" spans="1:5" x14ac:dyDescent="0.25">
      <c r="A302" s="2" t="s">
        <v>937</v>
      </c>
      <c r="B302" s="2">
        <v>2026</v>
      </c>
      <c r="C302" s="2">
        <v>4</v>
      </c>
      <c r="D302" s="2">
        <v>28</v>
      </c>
      <c r="E302" s="2">
        <v>6</v>
      </c>
    </row>
    <row r="303" spans="1:5" x14ac:dyDescent="0.25">
      <c r="A303" s="2" t="s">
        <v>940</v>
      </c>
      <c r="B303" s="2">
        <v>2026</v>
      </c>
      <c r="C303" s="2">
        <v>2</v>
      </c>
      <c r="D303" s="2">
        <v>9</v>
      </c>
      <c r="E303" s="2">
        <v>12</v>
      </c>
    </row>
    <row r="304" spans="1:5" x14ac:dyDescent="0.25">
      <c r="A304" s="2" t="s">
        <v>942</v>
      </c>
      <c r="B304" s="2">
        <v>2026</v>
      </c>
      <c r="C304" s="2">
        <v>1</v>
      </c>
      <c r="D304" s="2">
        <v>57</v>
      </c>
      <c r="E304" s="2">
        <v>0</v>
      </c>
    </row>
    <row r="305" spans="1:5" x14ac:dyDescent="0.25">
      <c r="A305" s="2" t="s">
        <v>945</v>
      </c>
      <c r="B305" s="2">
        <v>2026</v>
      </c>
      <c r="C305" s="2">
        <v>5</v>
      </c>
      <c r="D305" s="2">
        <v>27</v>
      </c>
      <c r="E305" s="2">
        <v>0</v>
      </c>
    </row>
    <row r="306" spans="1:5" x14ac:dyDescent="0.25">
      <c r="A306" s="2" t="s">
        <v>948</v>
      </c>
      <c r="B306" s="2">
        <v>2026</v>
      </c>
      <c r="C306" s="2">
        <v>2</v>
      </c>
      <c r="D306" s="2">
        <v>19</v>
      </c>
      <c r="E306" s="2">
        <v>2</v>
      </c>
    </row>
    <row r="307" spans="1:5" x14ac:dyDescent="0.25">
      <c r="A307" s="2" t="s">
        <v>951</v>
      </c>
      <c r="B307" s="2">
        <v>2026</v>
      </c>
      <c r="C307" s="2">
        <v>2</v>
      </c>
      <c r="D307" s="2">
        <v>23</v>
      </c>
      <c r="E307" s="2">
        <v>5</v>
      </c>
    </row>
    <row r="308" spans="1:5" x14ac:dyDescent="0.25">
      <c r="A308" s="2" t="s">
        <v>954</v>
      </c>
      <c r="B308" s="2">
        <v>2026</v>
      </c>
      <c r="C308" s="2">
        <v>2</v>
      </c>
      <c r="D308" s="2">
        <v>38</v>
      </c>
      <c r="E308" s="2">
        <v>11</v>
      </c>
    </row>
    <row r="309" spans="1:5" x14ac:dyDescent="0.25">
      <c r="A309" s="2" t="s">
        <v>957</v>
      </c>
      <c r="B309" s="2">
        <v>2026</v>
      </c>
      <c r="C309" s="2">
        <v>3</v>
      </c>
      <c r="D309" s="2">
        <v>17</v>
      </c>
      <c r="E309" s="2">
        <v>8</v>
      </c>
    </row>
    <row r="310" spans="1:5" x14ac:dyDescent="0.25">
      <c r="A310" s="2" t="s">
        <v>960</v>
      </c>
      <c r="B310" s="2">
        <v>2026</v>
      </c>
      <c r="C310" s="2">
        <v>1</v>
      </c>
      <c r="D310" s="2">
        <v>26</v>
      </c>
      <c r="E310" s="2">
        <v>8</v>
      </c>
    </row>
    <row r="311" spans="1:5" x14ac:dyDescent="0.25">
      <c r="A311" s="2" t="s">
        <v>962</v>
      </c>
      <c r="B311" s="2">
        <v>2026</v>
      </c>
      <c r="C311" s="2">
        <v>3</v>
      </c>
      <c r="D311" s="2">
        <v>60</v>
      </c>
      <c r="E311" s="2">
        <v>12</v>
      </c>
    </row>
    <row r="312" spans="1:5" x14ac:dyDescent="0.25">
      <c r="A312" s="2" t="s">
        <v>965</v>
      </c>
      <c r="B312" s="2">
        <v>2026</v>
      </c>
      <c r="C312" s="2">
        <v>2</v>
      </c>
      <c r="D312" s="2">
        <v>44</v>
      </c>
      <c r="E312" s="2">
        <v>1</v>
      </c>
    </row>
    <row r="313" spans="1:5" x14ac:dyDescent="0.25">
      <c r="A313" s="2" t="s">
        <v>967</v>
      </c>
      <c r="B313" s="2">
        <v>2026</v>
      </c>
      <c r="C313" s="2">
        <v>4</v>
      </c>
      <c r="D313" s="2">
        <v>13</v>
      </c>
      <c r="E313" s="2">
        <v>5</v>
      </c>
    </row>
    <row r="314" spans="1:5" x14ac:dyDescent="0.25">
      <c r="A314" s="2" t="s">
        <v>970</v>
      </c>
      <c r="B314" s="2">
        <v>2026</v>
      </c>
      <c r="C314" s="2">
        <v>5</v>
      </c>
      <c r="D314" s="2">
        <v>50</v>
      </c>
      <c r="E314" s="2">
        <v>6</v>
      </c>
    </row>
    <row r="315" spans="1:5" x14ac:dyDescent="0.25">
      <c r="A315" s="2" t="s">
        <v>973</v>
      </c>
      <c r="B315" s="2">
        <v>2026</v>
      </c>
      <c r="C315" s="2">
        <v>3</v>
      </c>
      <c r="D315" s="2">
        <v>16</v>
      </c>
      <c r="E315" s="2">
        <v>5</v>
      </c>
    </row>
    <row r="316" spans="1:5" x14ac:dyDescent="0.25">
      <c r="A316" s="2" t="s">
        <v>976</v>
      </c>
      <c r="B316" s="2">
        <v>2026</v>
      </c>
      <c r="C316" s="2">
        <v>1</v>
      </c>
      <c r="D316" s="2">
        <v>28</v>
      </c>
      <c r="E316" s="2">
        <v>8</v>
      </c>
    </row>
    <row r="317" spans="1:5" x14ac:dyDescent="0.25">
      <c r="A317" s="2" t="s">
        <v>979</v>
      </c>
      <c r="B317" s="2">
        <v>2026</v>
      </c>
      <c r="C317" s="2">
        <v>5</v>
      </c>
      <c r="D317" s="2">
        <v>39</v>
      </c>
      <c r="E317" s="2">
        <v>7</v>
      </c>
    </row>
    <row r="318" spans="1:5" x14ac:dyDescent="0.25">
      <c r="A318" s="2" t="s">
        <v>982</v>
      </c>
      <c r="B318" s="2">
        <v>2026</v>
      </c>
      <c r="C318" s="2">
        <v>2</v>
      </c>
      <c r="D318" s="2">
        <v>40</v>
      </c>
      <c r="E318" s="2">
        <v>3</v>
      </c>
    </row>
    <row r="319" spans="1:5" x14ac:dyDescent="0.25">
      <c r="A319" s="2" t="s">
        <v>985</v>
      </c>
      <c r="B319" s="2">
        <v>2026</v>
      </c>
      <c r="C319" s="2">
        <v>2</v>
      </c>
      <c r="D319" s="2">
        <v>32</v>
      </c>
      <c r="E319" s="2">
        <v>5</v>
      </c>
    </row>
    <row r="320" spans="1:5" x14ac:dyDescent="0.25">
      <c r="A320" s="2" t="s">
        <v>988</v>
      </c>
      <c r="B320" s="2">
        <v>2026</v>
      </c>
      <c r="C320" s="2">
        <v>3</v>
      </c>
      <c r="D320" s="2">
        <v>39</v>
      </c>
      <c r="E320" s="2">
        <v>11</v>
      </c>
    </row>
    <row r="321" spans="1:5" x14ac:dyDescent="0.25">
      <c r="A321" s="2" t="s">
        <v>991</v>
      </c>
      <c r="B321" s="2">
        <v>2026</v>
      </c>
      <c r="C321" s="2">
        <v>2</v>
      </c>
      <c r="D321" s="2">
        <v>30</v>
      </c>
      <c r="E321" s="2">
        <v>12</v>
      </c>
    </row>
    <row r="322" spans="1:5" x14ac:dyDescent="0.25">
      <c r="A322" s="2" t="s">
        <v>993</v>
      </c>
      <c r="B322" s="2">
        <v>2026</v>
      </c>
      <c r="C322" s="2">
        <v>5</v>
      </c>
      <c r="D322" s="2">
        <v>54</v>
      </c>
      <c r="E322" s="2">
        <v>9</v>
      </c>
    </row>
    <row r="323" spans="1:5" x14ac:dyDescent="0.25">
      <c r="A323" s="2" t="s">
        <v>996</v>
      </c>
      <c r="B323" s="2">
        <v>2026</v>
      </c>
      <c r="C323" s="2">
        <v>3</v>
      </c>
      <c r="D323" s="2">
        <v>22</v>
      </c>
      <c r="E323" s="2">
        <v>5</v>
      </c>
    </row>
    <row r="324" spans="1:5" x14ac:dyDescent="0.25">
      <c r="A324" s="2" t="s">
        <v>999</v>
      </c>
      <c r="B324" s="2">
        <v>2026</v>
      </c>
      <c r="C324" s="2">
        <v>3</v>
      </c>
      <c r="D324" s="2">
        <v>20</v>
      </c>
      <c r="E324" s="2">
        <v>11</v>
      </c>
    </row>
    <row r="325" spans="1:5" x14ac:dyDescent="0.25">
      <c r="A325" s="2" t="s">
        <v>1002</v>
      </c>
      <c r="B325" s="2">
        <v>2026</v>
      </c>
      <c r="C325" s="2">
        <v>4</v>
      </c>
      <c r="D325" s="2">
        <v>3</v>
      </c>
      <c r="E325" s="2">
        <v>4</v>
      </c>
    </row>
    <row r="326" spans="1:5" x14ac:dyDescent="0.25">
      <c r="A326" s="2" t="s">
        <v>1005</v>
      </c>
      <c r="B326" s="2">
        <v>2026</v>
      </c>
      <c r="C326" s="2">
        <v>1</v>
      </c>
      <c r="D326" s="2">
        <v>15</v>
      </c>
      <c r="E326" s="2">
        <v>12</v>
      </c>
    </row>
    <row r="327" spans="1:5" x14ac:dyDescent="0.25">
      <c r="A327" s="2" t="s">
        <v>1008</v>
      </c>
      <c r="B327" s="2">
        <v>2026</v>
      </c>
      <c r="C327" s="2">
        <v>1</v>
      </c>
      <c r="D327" s="2">
        <v>52</v>
      </c>
      <c r="E327" s="2">
        <v>0</v>
      </c>
    </row>
    <row r="328" spans="1:5" x14ac:dyDescent="0.25">
      <c r="A328" s="2" t="s">
        <v>1011</v>
      </c>
      <c r="B328" s="2">
        <v>2026</v>
      </c>
      <c r="C328" s="2">
        <v>5</v>
      </c>
      <c r="D328" s="2">
        <v>47</v>
      </c>
      <c r="E328" s="2">
        <v>8</v>
      </c>
    </row>
    <row r="329" spans="1:5" x14ac:dyDescent="0.25">
      <c r="A329" s="2" t="s">
        <v>1014</v>
      </c>
      <c r="B329" s="2">
        <v>2026</v>
      </c>
      <c r="C329" s="2">
        <v>5</v>
      </c>
      <c r="D329" s="2">
        <v>40</v>
      </c>
      <c r="E329" s="2">
        <v>7</v>
      </c>
    </row>
    <row r="330" spans="1:5" x14ac:dyDescent="0.25">
      <c r="A330" s="2" t="s">
        <v>1017</v>
      </c>
      <c r="B330" s="2">
        <v>2026</v>
      </c>
      <c r="C330" s="2">
        <v>5</v>
      </c>
      <c r="D330" s="2">
        <v>53</v>
      </c>
      <c r="E330" s="2">
        <v>5</v>
      </c>
    </row>
    <row r="331" spans="1:5" x14ac:dyDescent="0.25">
      <c r="A331" s="2" t="s">
        <v>1020</v>
      </c>
      <c r="B331" s="2">
        <v>2026</v>
      </c>
      <c r="C331" s="2">
        <v>1</v>
      </c>
      <c r="D331" s="2">
        <v>49</v>
      </c>
      <c r="E331" s="2">
        <v>1</v>
      </c>
    </row>
    <row r="332" spans="1:5" x14ac:dyDescent="0.25">
      <c r="A332" s="2" t="s">
        <v>1023</v>
      </c>
      <c r="B332" s="2">
        <v>2026</v>
      </c>
      <c r="C332" s="2">
        <v>1</v>
      </c>
      <c r="D332" s="2">
        <v>48</v>
      </c>
      <c r="E332" s="2">
        <v>7</v>
      </c>
    </row>
    <row r="333" spans="1:5" x14ac:dyDescent="0.25">
      <c r="A333" s="2" t="s">
        <v>1026</v>
      </c>
      <c r="B333" s="2">
        <v>2026</v>
      </c>
      <c r="C333" s="2">
        <v>5</v>
      </c>
      <c r="D333" s="2">
        <v>48</v>
      </c>
      <c r="E333" s="2">
        <v>12</v>
      </c>
    </row>
    <row r="334" spans="1:5" x14ac:dyDescent="0.25">
      <c r="A334" s="2" t="s">
        <v>1028</v>
      </c>
      <c r="B334" s="2">
        <v>2026</v>
      </c>
      <c r="C334" s="2">
        <v>3</v>
      </c>
      <c r="D334" s="2">
        <v>59</v>
      </c>
      <c r="E334" s="2">
        <v>8</v>
      </c>
    </row>
    <row r="335" spans="1:5" x14ac:dyDescent="0.25">
      <c r="A335" s="2" t="s">
        <v>1031</v>
      </c>
      <c r="B335" s="2">
        <v>2026</v>
      </c>
      <c r="C335" s="2">
        <v>3</v>
      </c>
      <c r="D335" s="2">
        <v>50</v>
      </c>
      <c r="E335" s="2">
        <v>0</v>
      </c>
    </row>
    <row r="336" spans="1:5" x14ac:dyDescent="0.25">
      <c r="A336" s="2" t="s">
        <v>1034</v>
      </c>
      <c r="B336" s="2">
        <v>2026</v>
      </c>
      <c r="C336" s="2">
        <v>1</v>
      </c>
      <c r="D336" s="2">
        <v>51</v>
      </c>
      <c r="E336" s="2">
        <v>7</v>
      </c>
    </row>
    <row r="337" spans="1:5" x14ac:dyDescent="0.25">
      <c r="A337" s="2" t="s">
        <v>1037</v>
      </c>
      <c r="B337" s="2">
        <v>2026</v>
      </c>
      <c r="C337" s="2">
        <v>2</v>
      </c>
      <c r="D337" s="2">
        <v>57</v>
      </c>
      <c r="E337" s="2">
        <v>8</v>
      </c>
    </row>
    <row r="338" spans="1:5" x14ac:dyDescent="0.25">
      <c r="A338" s="2" t="s">
        <v>1040</v>
      </c>
      <c r="B338" s="2">
        <v>2026</v>
      </c>
      <c r="C338" s="2">
        <v>1</v>
      </c>
      <c r="D338" s="2">
        <v>2</v>
      </c>
      <c r="E338" s="2">
        <v>1</v>
      </c>
    </row>
    <row r="339" spans="1:5" x14ac:dyDescent="0.25">
      <c r="A339" s="2" t="s">
        <v>1043</v>
      </c>
      <c r="B339" s="2">
        <v>2026</v>
      </c>
      <c r="C339" s="2">
        <v>1</v>
      </c>
      <c r="D339" s="2">
        <v>49</v>
      </c>
      <c r="E339" s="2">
        <v>0</v>
      </c>
    </row>
    <row r="340" spans="1:5" x14ac:dyDescent="0.25">
      <c r="A340" s="2" t="s">
        <v>1046</v>
      </c>
      <c r="B340" s="2">
        <v>2026</v>
      </c>
      <c r="C340" s="2">
        <v>3</v>
      </c>
      <c r="D340" s="2">
        <v>21</v>
      </c>
      <c r="E340" s="2">
        <v>6</v>
      </c>
    </row>
    <row r="341" spans="1:5" x14ac:dyDescent="0.25">
      <c r="A341" s="2" t="s">
        <v>1049</v>
      </c>
      <c r="B341" s="2">
        <v>2026</v>
      </c>
      <c r="C341" s="2">
        <v>3</v>
      </c>
      <c r="D341" s="2">
        <v>9</v>
      </c>
      <c r="E341" s="2">
        <v>8</v>
      </c>
    </row>
    <row r="342" spans="1:5" x14ac:dyDescent="0.25">
      <c r="A342" s="2" t="s">
        <v>1052</v>
      </c>
      <c r="B342" s="2">
        <v>2026</v>
      </c>
      <c r="C342" s="2">
        <v>2</v>
      </c>
      <c r="D342" s="2">
        <v>29</v>
      </c>
      <c r="E342" s="2">
        <v>12</v>
      </c>
    </row>
    <row r="343" spans="1:5" x14ac:dyDescent="0.25">
      <c r="A343" s="2" t="s">
        <v>1055</v>
      </c>
      <c r="B343" s="2">
        <v>2026</v>
      </c>
      <c r="C343" s="2">
        <v>5</v>
      </c>
      <c r="D343" s="2">
        <v>17</v>
      </c>
      <c r="E343" s="2">
        <v>0</v>
      </c>
    </row>
    <row r="344" spans="1:5" x14ac:dyDescent="0.25">
      <c r="A344" s="2" t="s">
        <v>1058</v>
      </c>
      <c r="B344" s="2">
        <v>2026</v>
      </c>
      <c r="C344" s="2">
        <v>4</v>
      </c>
      <c r="D344" s="2">
        <v>1</v>
      </c>
      <c r="E344" s="2">
        <v>5</v>
      </c>
    </row>
    <row r="345" spans="1:5" x14ac:dyDescent="0.25">
      <c r="A345" s="2" t="s">
        <v>1061</v>
      </c>
      <c r="B345" s="2">
        <v>2026</v>
      </c>
      <c r="C345" s="2">
        <v>5</v>
      </c>
      <c r="D345" s="2">
        <v>23</v>
      </c>
      <c r="E345" s="2">
        <v>9</v>
      </c>
    </row>
    <row r="346" spans="1:5" x14ac:dyDescent="0.25">
      <c r="A346" s="2" t="s">
        <v>1064</v>
      </c>
      <c r="B346" s="2">
        <v>2026</v>
      </c>
      <c r="C346" s="2">
        <v>2</v>
      </c>
      <c r="D346" s="2">
        <v>30</v>
      </c>
      <c r="E346" s="2">
        <v>9</v>
      </c>
    </row>
    <row r="347" spans="1:5" x14ac:dyDescent="0.25">
      <c r="A347" s="2" t="s">
        <v>1067</v>
      </c>
      <c r="B347" s="2">
        <v>2026</v>
      </c>
      <c r="C347" s="2">
        <v>3</v>
      </c>
      <c r="D347" s="2">
        <v>44</v>
      </c>
      <c r="E347" s="2">
        <v>4</v>
      </c>
    </row>
    <row r="348" spans="1:5" x14ac:dyDescent="0.25">
      <c r="A348" s="2" t="s">
        <v>1070</v>
      </c>
      <c r="B348" s="2">
        <v>2026</v>
      </c>
      <c r="C348" s="2">
        <v>1</v>
      </c>
      <c r="D348" s="2">
        <v>46</v>
      </c>
      <c r="E348" s="2">
        <v>8</v>
      </c>
    </row>
    <row r="349" spans="1:5" x14ac:dyDescent="0.25">
      <c r="A349" s="2" t="s">
        <v>1073</v>
      </c>
      <c r="B349" s="2">
        <v>2026</v>
      </c>
      <c r="C349" s="2">
        <v>2</v>
      </c>
      <c r="D349" s="2">
        <v>1</v>
      </c>
      <c r="E349" s="2">
        <v>4</v>
      </c>
    </row>
    <row r="350" spans="1:5" x14ac:dyDescent="0.25">
      <c r="A350" s="2" t="s">
        <v>1076</v>
      </c>
      <c r="B350" s="2">
        <v>2026</v>
      </c>
      <c r="C350" s="2">
        <v>3</v>
      </c>
      <c r="D350" s="2">
        <v>7</v>
      </c>
      <c r="E350" s="2">
        <v>1</v>
      </c>
    </row>
    <row r="351" spans="1:5" x14ac:dyDescent="0.25">
      <c r="A351" s="2" t="s">
        <v>1079</v>
      </c>
      <c r="B351" s="2">
        <v>2026</v>
      </c>
      <c r="C351" s="2">
        <v>4</v>
      </c>
      <c r="D351" s="2">
        <v>19</v>
      </c>
      <c r="E351" s="2">
        <v>3</v>
      </c>
    </row>
    <row r="352" spans="1:5" x14ac:dyDescent="0.25">
      <c r="A352" s="2" t="s">
        <v>1082</v>
      </c>
      <c r="B352" s="2">
        <v>2026</v>
      </c>
      <c r="C352" s="2">
        <v>2</v>
      </c>
      <c r="D352" s="2">
        <v>43</v>
      </c>
      <c r="E352" s="2">
        <v>8</v>
      </c>
    </row>
    <row r="353" spans="1:5" x14ac:dyDescent="0.25">
      <c r="A353" s="2" t="s">
        <v>1085</v>
      </c>
      <c r="B353" s="2">
        <v>2026</v>
      </c>
      <c r="C353" s="2">
        <v>2</v>
      </c>
      <c r="D353" s="2">
        <v>55</v>
      </c>
      <c r="E353" s="2">
        <v>3</v>
      </c>
    </row>
    <row r="354" spans="1:5" x14ac:dyDescent="0.25">
      <c r="A354" s="2" t="s">
        <v>1088</v>
      </c>
      <c r="B354" s="2">
        <v>2026</v>
      </c>
      <c r="C354" s="2">
        <v>1</v>
      </c>
      <c r="D354" s="2">
        <v>25</v>
      </c>
      <c r="E354" s="2">
        <v>2</v>
      </c>
    </row>
    <row r="355" spans="1:5" x14ac:dyDescent="0.25">
      <c r="A355" s="2" t="s">
        <v>1091</v>
      </c>
      <c r="B355" s="2">
        <v>2026</v>
      </c>
      <c r="C355" s="2">
        <v>1</v>
      </c>
      <c r="D355" s="2">
        <v>57</v>
      </c>
      <c r="E355" s="2">
        <v>3</v>
      </c>
    </row>
    <row r="356" spans="1:5" x14ac:dyDescent="0.25">
      <c r="A356" s="2" t="s">
        <v>1094</v>
      </c>
      <c r="B356" s="2">
        <v>2026</v>
      </c>
      <c r="C356" s="2">
        <v>5</v>
      </c>
      <c r="D356" s="2">
        <v>36</v>
      </c>
      <c r="E356" s="2">
        <v>11</v>
      </c>
    </row>
    <row r="357" spans="1:5" x14ac:dyDescent="0.25">
      <c r="A357" s="2" t="s">
        <v>1097</v>
      </c>
      <c r="B357" s="2">
        <v>2026</v>
      </c>
      <c r="C357" s="2">
        <v>1</v>
      </c>
      <c r="D357" s="2">
        <v>6</v>
      </c>
      <c r="E357" s="2">
        <v>10</v>
      </c>
    </row>
    <row r="358" spans="1:5" x14ac:dyDescent="0.25">
      <c r="A358" s="2" t="s">
        <v>1100</v>
      </c>
      <c r="B358" s="2">
        <v>2026</v>
      </c>
      <c r="C358" s="2">
        <v>4</v>
      </c>
      <c r="D358" s="2">
        <v>56</v>
      </c>
      <c r="E358" s="2">
        <v>3</v>
      </c>
    </row>
    <row r="359" spans="1:5" x14ac:dyDescent="0.25">
      <c r="A359" s="2" t="s">
        <v>1103</v>
      </c>
      <c r="B359" s="2">
        <v>2026</v>
      </c>
      <c r="C359" s="2">
        <v>5</v>
      </c>
      <c r="D359" s="2">
        <v>58</v>
      </c>
      <c r="E359" s="2">
        <v>3</v>
      </c>
    </row>
    <row r="360" spans="1:5" x14ac:dyDescent="0.25">
      <c r="A360" s="2" t="s">
        <v>1106</v>
      </c>
      <c r="B360" s="2">
        <v>2026</v>
      </c>
      <c r="C360" s="2">
        <v>3</v>
      </c>
      <c r="D360" s="2">
        <v>40</v>
      </c>
      <c r="E360" s="2">
        <v>5</v>
      </c>
    </row>
    <row r="361" spans="1:5" x14ac:dyDescent="0.25">
      <c r="A361" s="2" t="s">
        <v>1109</v>
      </c>
      <c r="B361" s="2">
        <v>2026</v>
      </c>
      <c r="C361" s="2">
        <v>3</v>
      </c>
      <c r="D361" s="2">
        <v>40</v>
      </c>
      <c r="E361" s="2">
        <v>5</v>
      </c>
    </row>
    <row r="362" spans="1:5" x14ac:dyDescent="0.25">
      <c r="A362" s="2" t="s">
        <v>1112</v>
      </c>
      <c r="B362" s="2">
        <v>2026</v>
      </c>
      <c r="C362" s="2">
        <v>4</v>
      </c>
      <c r="D362" s="2">
        <v>32</v>
      </c>
      <c r="E362" s="2">
        <v>4</v>
      </c>
    </row>
    <row r="363" spans="1:5" x14ac:dyDescent="0.25">
      <c r="A363" s="2" t="s">
        <v>1115</v>
      </c>
      <c r="B363" s="2">
        <v>2026</v>
      </c>
      <c r="C363" s="2">
        <v>5</v>
      </c>
      <c r="D363" s="2">
        <v>7</v>
      </c>
      <c r="E363" s="2">
        <v>4</v>
      </c>
    </row>
    <row r="364" spans="1:5" x14ac:dyDescent="0.25">
      <c r="A364" s="2" t="s">
        <v>1118</v>
      </c>
      <c r="B364" s="2">
        <v>2026</v>
      </c>
      <c r="C364" s="2">
        <v>5</v>
      </c>
      <c r="D364" s="2">
        <v>1</v>
      </c>
      <c r="E364" s="2">
        <v>4</v>
      </c>
    </row>
    <row r="365" spans="1:5" x14ac:dyDescent="0.25">
      <c r="A365" s="2" t="s">
        <v>1121</v>
      </c>
      <c r="B365" s="2">
        <v>2026</v>
      </c>
      <c r="C365" s="2">
        <v>3</v>
      </c>
      <c r="D365" s="2">
        <v>37</v>
      </c>
      <c r="E365" s="2">
        <v>10</v>
      </c>
    </row>
    <row r="366" spans="1:5" x14ac:dyDescent="0.25">
      <c r="A366" s="2" t="s">
        <v>1124</v>
      </c>
      <c r="B366" s="2">
        <v>2026</v>
      </c>
      <c r="C366" s="2">
        <v>3</v>
      </c>
      <c r="D366" s="2">
        <v>26</v>
      </c>
      <c r="E366" s="2">
        <v>3</v>
      </c>
    </row>
    <row r="367" spans="1:5" x14ac:dyDescent="0.25">
      <c r="A367" s="2" t="s">
        <v>1127</v>
      </c>
      <c r="B367" s="2">
        <v>2026</v>
      </c>
      <c r="C367" s="2">
        <v>3</v>
      </c>
      <c r="D367" s="2">
        <v>39</v>
      </c>
      <c r="E367" s="2">
        <v>7</v>
      </c>
    </row>
    <row r="368" spans="1:5" x14ac:dyDescent="0.25">
      <c r="A368" s="2" t="s">
        <v>1130</v>
      </c>
      <c r="B368" s="2">
        <v>2026</v>
      </c>
      <c r="C368" s="2">
        <v>5</v>
      </c>
      <c r="D368" s="2">
        <v>37</v>
      </c>
      <c r="E368" s="2">
        <v>3</v>
      </c>
    </row>
    <row r="369" spans="1:5" x14ac:dyDescent="0.25">
      <c r="A369" s="2" t="s">
        <v>1133</v>
      </c>
      <c r="B369" s="2">
        <v>2026</v>
      </c>
      <c r="C369" s="2">
        <v>2</v>
      </c>
      <c r="D369" s="2">
        <v>60</v>
      </c>
      <c r="E369" s="2">
        <v>10</v>
      </c>
    </row>
    <row r="370" spans="1:5" x14ac:dyDescent="0.25">
      <c r="A370" s="2" t="s">
        <v>1136</v>
      </c>
      <c r="B370" s="2">
        <v>2026</v>
      </c>
      <c r="C370" s="2">
        <v>5</v>
      </c>
      <c r="D370" s="2">
        <v>21</v>
      </c>
      <c r="E370" s="2">
        <v>9</v>
      </c>
    </row>
    <row r="371" spans="1:5" x14ac:dyDescent="0.25">
      <c r="A371" s="2" t="s">
        <v>1139</v>
      </c>
      <c r="B371" s="2">
        <v>2026</v>
      </c>
      <c r="C371" s="2">
        <v>2</v>
      </c>
      <c r="D371" s="2">
        <v>11</v>
      </c>
      <c r="E371" s="2">
        <v>8</v>
      </c>
    </row>
    <row r="372" spans="1:5" x14ac:dyDescent="0.25">
      <c r="A372" s="2" t="s">
        <v>1142</v>
      </c>
      <c r="B372" s="2">
        <v>2026</v>
      </c>
      <c r="C372" s="2">
        <v>4</v>
      </c>
      <c r="D372" s="2">
        <v>28</v>
      </c>
      <c r="E372" s="2">
        <v>2</v>
      </c>
    </row>
    <row r="373" spans="1:5" x14ac:dyDescent="0.25">
      <c r="A373" s="2" t="s">
        <v>1145</v>
      </c>
      <c r="B373" s="2">
        <v>2026</v>
      </c>
      <c r="C373" s="2">
        <v>1</v>
      </c>
      <c r="D373" s="2">
        <v>55</v>
      </c>
      <c r="E373" s="2">
        <v>7</v>
      </c>
    </row>
    <row r="374" spans="1:5" x14ac:dyDescent="0.25">
      <c r="A374" s="2" t="s">
        <v>1147</v>
      </c>
      <c r="B374" s="2">
        <v>2026</v>
      </c>
      <c r="C374" s="2">
        <v>5</v>
      </c>
      <c r="D374" s="2">
        <v>31</v>
      </c>
      <c r="E374" s="2">
        <v>12</v>
      </c>
    </row>
    <row r="375" spans="1:5" x14ac:dyDescent="0.25">
      <c r="A375" s="2" t="s">
        <v>1149</v>
      </c>
      <c r="B375" s="2">
        <v>2026</v>
      </c>
      <c r="C375" s="2">
        <v>5</v>
      </c>
      <c r="D375" s="2">
        <v>53</v>
      </c>
      <c r="E375" s="2">
        <v>11</v>
      </c>
    </row>
    <row r="376" spans="1:5" x14ac:dyDescent="0.25">
      <c r="A376" s="2" t="s">
        <v>1152</v>
      </c>
      <c r="B376" s="2">
        <v>2026</v>
      </c>
      <c r="C376" s="2">
        <v>3</v>
      </c>
      <c r="D376" s="2">
        <v>29</v>
      </c>
      <c r="E376" s="2">
        <v>3</v>
      </c>
    </row>
    <row r="377" spans="1:5" x14ac:dyDescent="0.25">
      <c r="A377" s="2" t="s">
        <v>1155</v>
      </c>
      <c r="B377" s="2">
        <v>2026</v>
      </c>
      <c r="C377" s="2">
        <v>3</v>
      </c>
      <c r="D377" s="2">
        <v>36</v>
      </c>
      <c r="E377" s="2">
        <v>4</v>
      </c>
    </row>
    <row r="378" spans="1:5" x14ac:dyDescent="0.25">
      <c r="A378" s="2" t="s">
        <v>1158</v>
      </c>
      <c r="B378" s="2">
        <v>2026</v>
      </c>
      <c r="C378" s="2">
        <v>1</v>
      </c>
      <c r="D378" s="2">
        <v>40</v>
      </c>
      <c r="E378" s="2">
        <v>8</v>
      </c>
    </row>
    <row r="379" spans="1:5" x14ac:dyDescent="0.25">
      <c r="A379" s="2" t="s">
        <v>1161</v>
      </c>
      <c r="B379" s="2">
        <v>2026</v>
      </c>
      <c r="C379" s="2">
        <v>3</v>
      </c>
      <c r="D379" s="2">
        <v>53</v>
      </c>
      <c r="E379" s="2">
        <v>2</v>
      </c>
    </row>
    <row r="380" spans="1:5" x14ac:dyDescent="0.25">
      <c r="A380" s="2" t="s">
        <v>1164</v>
      </c>
      <c r="B380" s="2">
        <v>2026</v>
      </c>
      <c r="C380" s="2">
        <v>3</v>
      </c>
      <c r="D380" s="2">
        <v>53</v>
      </c>
      <c r="E380" s="2">
        <v>4</v>
      </c>
    </row>
    <row r="381" spans="1:5" x14ac:dyDescent="0.25">
      <c r="A381" s="2" t="s">
        <v>1167</v>
      </c>
      <c r="B381" s="2">
        <v>2026</v>
      </c>
      <c r="C381" s="2">
        <v>2</v>
      </c>
      <c r="D381" s="2">
        <v>52</v>
      </c>
      <c r="E381" s="2">
        <v>9</v>
      </c>
    </row>
    <row r="382" spans="1:5" x14ac:dyDescent="0.25">
      <c r="A382" s="2" t="s">
        <v>1170</v>
      </c>
      <c r="B382" s="2">
        <v>2026</v>
      </c>
      <c r="C382" s="2">
        <v>4</v>
      </c>
      <c r="D382" s="2">
        <v>3</v>
      </c>
      <c r="E382" s="2">
        <v>4</v>
      </c>
    </row>
    <row r="383" spans="1:5" x14ac:dyDescent="0.25">
      <c r="A383" s="2" t="s">
        <v>1172</v>
      </c>
      <c r="B383" s="2">
        <v>2026</v>
      </c>
      <c r="C383" s="2">
        <v>3</v>
      </c>
      <c r="D383" s="2">
        <v>11</v>
      </c>
      <c r="E383" s="2">
        <v>11</v>
      </c>
    </row>
    <row r="384" spans="1:5" x14ac:dyDescent="0.25">
      <c r="A384" s="2" t="s">
        <v>1175</v>
      </c>
      <c r="B384" s="2">
        <v>2026</v>
      </c>
      <c r="C384" s="2">
        <v>4</v>
      </c>
      <c r="D384" s="2">
        <v>18</v>
      </c>
      <c r="E384" s="2">
        <v>10</v>
      </c>
    </row>
    <row r="385" spans="1:5" x14ac:dyDescent="0.25">
      <c r="A385" s="2" t="s">
        <v>1178</v>
      </c>
      <c r="B385" s="2">
        <v>2026</v>
      </c>
      <c r="C385" s="2">
        <v>2</v>
      </c>
      <c r="D385" s="2">
        <v>36</v>
      </c>
      <c r="E385" s="2">
        <v>5</v>
      </c>
    </row>
    <row r="386" spans="1:5" x14ac:dyDescent="0.25">
      <c r="A386" s="2" t="s">
        <v>1181</v>
      </c>
      <c r="B386" s="2">
        <v>2026</v>
      </c>
      <c r="C386" s="2">
        <v>4</v>
      </c>
      <c r="D386" s="2">
        <v>41</v>
      </c>
      <c r="E386" s="2">
        <v>5</v>
      </c>
    </row>
    <row r="387" spans="1:5" x14ac:dyDescent="0.25">
      <c r="A387" s="2" t="s">
        <v>1183</v>
      </c>
      <c r="B387" s="2">
        <v>2026</v>
      </c>
      <c r="C387" s="2">
        <v>4</v>
      </c>
      <c r="D387" s="2">
        <v>12</v>
      </c>
      <c r="E387" s="2">
        <v>2</v>
      </c>
    </row>
    <row r="388" spans="1:5" x14ac:dyDescent="0.25">
      <c r="A388" s="2" t="s">
        <v>1186</v>
      </c>
      <c r="B388" s="2">
        <v>2026</v>
      </c>
      <c r="C388" s="2">
        <v>1</v>
      </c>
      <c r="D388" s="2">
        <v>50</v>
      </c>
      <c r="E388" s="2">
        <v>5</v>
      </c>
    </row>
    <row r="389" spans="1:5" x14ac:dyDescent="0.25">
      <c r="A389" s="2" t="s">
        <v>1189</v>
      </c>
      <c r="B389" s="2">
        <v>2026</v>
      </c>
      <c r="C389" s="2">
        <v>1</v>
      </c>
      <c r="D389" s="2">
        <v>1</v>
      </c>
      <c r="E389" s="2">
        <v>8</v>
      </c>
    </row>
    <row r="390" spans="1:5" x14ac:dyDescent="0.25">
      <c r="A390" s="2" t="s">
        <v>1192</v>
      </c>
      <c r="B390" s="2">
        <v>2026</v>
      </c>
      <c r="C390" s="2">
        <v>3</v>
      </c>
      <c r="D390" s="2">
        <v>3</v>
      </c>
      <c r="E390" s="2">
        <v>4</v>
      </c>
    </row>
    <row r="391" spans="1:5" x14ac:dyDescent="0.25">
      <c r="A391" s="2" t="s">
        <v>1195</v>
      </c>
      <c r="B391" s="2">
        <v>2026</v>
      </c>
      <c r="C391" s="2">
        <v>5</v>
      </c>
      <c r="D391" s="2">
        <v>14</v>
      </c>
      <c r="E391" s="2">
        <v>10</v>
      </c>
    </row>
    <row r="392" spans="1:5" x14ac:dyDescent="0.25">
      <c r="A392" s="2" t="s">
        <v>1198</v>
      </c>
      <c r="B392" s="2">
        <v>2026</v>
      </c>
      <c r="C392" s="2">
        <v>5</v>
      </c>
      <c r="D392" s="2">
        <v>26</v>
      </c>
      <c r="E392" s="2">
        <v>2</v>
      </c>
    </row>
    <row r="393" spans="1:5" x14ac:dyDescent="0.25">
      <c r="A393" s="2" t="s">
        <v>1201</v>
      </c>
      <c r="B393" s="2">
        <v>2026</v>
      </c>
      <c r="C393" s="2">
        <v>4</v>
      </c>
      <c r="D393" s="2">
        <v>11</v>
      </c>
      <c r="E393" s="2">
        <v>0</v>
      </c>
    </row>
    <row r="394" spans="1:5" x14ac:dyDescent="0.25">
      <c r="A394" s="2" t="s">
        <v>1204</v>
      </c>
      <c r="B394" s="2">
        <v>2026</v>
      </c>
      <c r="C394" s="2">
        <v>4</v>
      </c>
      <c r="D394" s="2">
        <v>49</v>
      </c>
      <c r="E394" s="2">
        <v>12</v>
      </c>
    </row>
    <row r="395" spans="1:5" x14ac:dyDescent="0.25">
      <c r="A395" s="2" t="s">
        <v>1207</v>
      </c>
      <c r="B395" s="2">
        <v>2026</v>
      </c>
      <c r="C395" s="2">
        <v>4</v>
      </c>
      <c r="D395" s="2">
        <v>46</v>
      </c>
      <c r="E395" s="2">
        <v>9</v>
      </c>
    </row>
    <row r="396" spans="1:5" x14ac:dyDescent="0.25">
      <c r="A396" s="2" t="s">
        <v>1210</v>
      </c>
      <c r="B396" s="2">
        <v>2026</v>
      </c>
      <c r="C396" s="2">
        <v>2</v>
      </c>
      <c r="D396" s="2">
        <v>27</v>
      </c>
      <c r="E396" s="2">
        <v>12</v>
      </c>
    </row>
    <row r="397" spans="1:5" x14ac:dyDescent="0.25">
      <c r="A397" s="2" t="s">
        <v>1213</v>
      </c>
      <c r="B397" s="2">
        <v>2026</v>
      </c>
      <c r="C397" s="2">
        <v>5</v>
      </c>
      <c r="D397" s="2">
        <v>26</v>
      </c>
      <c r="E397" s="2">
        <v>5</v>
      </c>
    </row>
    <row r="398" spans="1:5" x14ac:dyDescent="0.25">
      <c r="A398" s="2" t="s">
        <v>1216</v>
      </c>
      <c r="B398" s="2">
        <v>2026</v>
      </c>
      <c r="C398" s="2">
        <v>4</v>
      </c>
      <c r="D398" s="2">
        <v>39</v>
      </c>
      <c r="E398" s="2">
        <v>4</v>
      </c>
    </row>
    <row r="399" spans="1:5" x14ac:dyDescent="0.25">
      <c r="A399" s="2" t="s">
        <v>1219</v>
      </c>
      <c r="B399" s="2">
        <v>2026</v>
      </c>
      <c r="C399" s="2">
        <v>3</v>
      </c>
      <c r="D399" s="2">
        <v>6</v>
      </c>
      <c r="E399" s="2">
        <v>0</v>
      </c>
    </row>
    <row r="400" spans="1:5" x14ac:dyDescent="0.25">
      <c r="A400" s="2" t="s">
        <v>1222</v>
      </c>
      <c r="B400" s="2">
        <v>2026</v>
      </c>
      <c r="C400" s="2">
        <v>1</v>
      </c>
      <c r="D400" s="2">
        <v>47</v>
      </c>
      <c r="E400" s="2">
        <v>5</v>
      </c>
    </row>
    <row r="401" spans="1:5" x14ac:dyDescent="0.25">
      <c r="A401" s="2" t="s">
        <v>1224</v>
      </c>
      <c r="B401" s="2">
        <v>2026</v>
      </c>
      <c r="C401" s="2">
        <v>5</v>
      </c>
      <c r="D401" s="2">
        <v>47</v>
      </c>
      <c r="E401" s="2">
        <v>6</v>
      </c>
    </row>
    <row r="402" spans="1:5" x14ac:dyDescent="0.25">
      <c r="A402" s="2" t="s">
        <v>1227</v>
      </c>
      <c r="B402" s="2">
        <v>2026</v>
      </c>
      <c r="C402" s="2">
        <v>5</v>
      </c>
      <c r="D402" s="2">
        <v>23</v>
      </c>
      <c r="E402" s="2">
        <v>4</v>
      </c>
    </row>
    <row r="403" spans="1:5" x14ac:dyDescent="0.25">
      <c r="A403" s="2" t="s">
        <v>1230</v>
      </c>
      <c r="B403" s="2">
        <v>2026</v>
      </c>
      <c r="C403" s="2">
        <v>2</v>
      </c>
      <c r="D403" s="2">
        <v>9</v>
      </c>
      <c r="E403" s="2">
        <v>11</v>
      </c>
    </row>
    <row r="404" spans="1:5" x14ac:dyDescent="0.25">
      <c r="A404" s="2" t="s">
        <v>1233</v>
      </c>
      <c r="B404" s="2">
        <v>2026</v>
      </c>
      <c r="C404" s="2">
        <v>1</v>
      </c>
      <c r="D404" s="2">
        <v>34</v>
      </c>
      <c r="E404" s="2">
        <v>6</v>
      </c>
    </row>
    <row r="405" spans="1:5" x14ac:dyDescent="0.25">
      <c r="A405" s="2" t="s">
        <v>1236</v>
      </c>
      <c r="B405" s="2">
        <v>2026</v>
      </c>
      <c r="C405" s="2">
        <v>2</v>
      </c>
      <c r="D405" s="2">
        <v>33</v>
      </c>
      <c r="E405" s="2">
        <v>7</v>
      </c>
    </row>
    <row r="406" spans="1:5" x14ac:dyDescent="0.25">
      <c r="A406" s="2" t="s">
        <v>1239</v>
      </c>
      <c r="B406" s="2">
        <v>2026</v>
      </c>
      <c r="C406" s="2">
        <v>4</v>
      </c>
      <c r="D406" s="2">
        <v>44</v>
      </c>
      <c r="E406" s="2">
        <v>9</v>
      </c>
    </row>
    <row r="407" spans="1:5" x14ac:dyDescent="0.25">
      <c r="A407" s="2" t="s">
        <v>1242</v>
      </c>
      <c r="B407" s="2">
        <v>2026</v>
      </c>
      <c r="C407" s="2">
        <v>3</v>
      </c>
      <c r="D407" s="2">
        <v>13</v>
      </c>
      <c r="E407" s="2">
        <v>1</v>
      </c>
    </row>
    <row r="408" spans="1:5" x14ac:dyDescent="0.25">
      <c r="A408" s="2" t="s">
        <v>1245</v>
      </c>
      <c r="B408" s="2">
        <v>2026</v>
      </c>
      <c r="C408" s="2">
        <v>3</v>
      </c>
      <c r="D408" s="2">
        <v>33</v>
      </c>
      <c r="E408" s="2">
        <v>4</v>
      </c>
    </row>
    <row r="409" spans="1:5" x14ac:dyDescent="0.25">
      <c r="A409" s="2" t="s">
        <v>1248</v>
      </c>
      <c r="B409" s="2">
        <v>2026</v>
      </c>
      <c r="C409" s="2">
        <v>5</v>
      </c>
      <c r="D409" s="2">
        <v>36</v>
      </c>
      <c r="E409" s="2">
        <v>0</v>
      </c>
    </row>
    <row r="410" spans="1:5" x14ac:dyDescent="0.25">
      <c r="A410" s="2" t="s">
        <v>1251</v>
      </c>
      <c r="B410" s="2">
        <v>2026</v>
      </c>
      <c r="C410" s="2">
        <v>1</v>
      </c>
      <c r="D410" s="2">
        <v>39</v>
      </c>
      <c r="E410" s="2">
        <v>7</v>
      </c>
    </row>
    <row r="411" spans="1:5" x14ac:dyDescent="0.25">
      <c r="A411" s="2" t="s">
        <v>1254</v>
      </c>
      <c r="B411" s="2">
        <v>2026</v>
      </c>
      <c r="C411" s="2">
        <v>5</v>
      </c>
      <c r="D411" s="2">
        <v>22</v>
      </c>
      <c r="E411" s="2">
        <v>8</v>
      </c>
    </row>
    <row r="412" spans="1:5" x14ac:dyDescent="0.25">
      <c r="A412" s="2" t="s">
        <v>1257</v>
      </c>
      <c r="B412" s="2">
        <v>2026</v>
      </c>
      <c r="C412" s="2">
        <v>1</v>
      </c>
      <c r="D412" s="2">
        <v>57</v>
      </c>
      <c r="E412" s="2">
        <v>0</v>
      </c>
    </row>
    <row r="413" spans="1:5" x14ac:dyDescent="0.25">
      <c r="A413" s="2" t="s">
        <v>1260</v>
      </c>
      <c r="B413" s="2">
        <v>2026</v>
      </c>
      <c r="C413" s="2">
        <v>3</v>
      </c>
      <c r="D413" s="2">
        <v>30</v>
      </c>
      <c r="E413" s="2">
        <v>6</v>
      </c>
    </row>
    <row r="414" spans="1:5" x14ac:dyDescent="0.25">
      <c r="A414" s="2" t="s">
        <v>1263</v>
      </c>
      <c r="B414" s="2">
        <v>2026</v>
      </c>
      <c r="C414" s="2">
        <v>4</v>
      </c>
      <c r="D414" s="2">
        <v>24</v>
      </c>
      <c r="E414" s="2">
        <v>4</v>
      </c>
    </row>
    <row r="415" spans="1:5" x14ac:dyDescent="0.25">
      <c r="A415" s="2" t="s">
        <v>1266</v>
      </c>
      <c r="B415" s="2">
        <v>2026</v>
      </c>
      <c r="C415" s="2">
        <v>3</v>
      </c>
      <c r="D415" s="2">
        <v>10</v>
      </c>
      <c r="E415" s="2">
        <v>3</v>
      </c>
    </row>
    <row r="416" spans="1:5" x14ac:dyDescent="0.25">
      <c r="A416" s="2" t="s">
        <v>1269</v>
      </c>
      <c r="B416" s="2">
        <v>2026</v>
      </c>
      <c r="C416" s="2">
        <v>1</v>
      </c>
      <c r="D416" s="2">
        <v>22</v>
      </c>
      <c r="E416" s="2">
        <v>7</v>
      </c>
    </row>
    <row r="417" spans="1:5" x14ac:dyDescent="0.25">
      <c r="A417" s="2" t="s">
        <v>1272</v>
      </c>
      <c r="B417" s="2">
        <v>2026</v>
      </c>
      <c r="C417" s="2">
        <v>2</v>
      </c>
      <c r="D417" s="2">
        <v>3</v>
      </c>
      <c r="E417" s="2">
        <v>0</v>
      </c>
    </row>
    <row r="418" spans="1:5" x14ac:dyDescent="0.25">
      <c r="A418" s="2" t="s">
        <v>1275</v>
      </c>
      <c r="B418" s="2">
        <v>2026</v>
      </c>
      <c r="C418" s="2">
        <v>1</v>
      </c>
      <c r="D418" s="2">
        <v>45</v>
      </c>
      <c r="E418" s="2">
        <v>8</v>
      </c>
    </row>
    <row r="419" spans="1:5" x14ac:dyDescent="0.25">
      <c r="A419" s="2" t="s">
        <v>1278</v>
      </c>
      <c r="B419" s="2">
        <v>2026</v>
      </c>
      <c r="C419" s="2">
        <v>3</v>
      </c>
      <c r="D419" s="2">
        <v>31</v>
      </c>
      <c r="E419" s="2">
        <v>9</v>
      </c>
    </row>
    <row r="420" spans="1:5" x14ac:dyDescent="0.25">
      <c r="A420" s="2" t="s">
        <v>1281</v>
      </c>
      <c r="B420" s="2">
        <v>2026</v>
      </c>
      <c r="C420" s="2">
        <v>3</v>
      </c>
      <c r="D420" s="2">
        <v>47</v>
      </c>
      <c r="E420" s="2">
        <v>0</v>
      </c>
    </row>
    <row r="421" spans="1:5" x14ac:dyDescent="0.25">
      <c r="A421" s="2" t="s">
        <v>1284</v>
      </c>
      <c r="B421" s="2">
        <v>2026</v>
      </c>
      <c r="C421" s="2">
        <v>1</v>
      </c>
      <c r="D421" s="2">
        <v>18</v>
      </c>
      <c r="E421" s="2">
        <v>2</v>
      </c>
    </row>
    <row r="422" spans="1:5" x14ac:dyDescent="0.25">
      <c r="A422" s="2" t="s">
        <v>1287</v>
      </c>
      <c r="B422" s="2">
        <v>2026</v>
      </c>
      <c r="C422" s="2">
        <v>1</v>
      </c>
      <c r="D422" s="2">
        <v>25</v>
      </c>
      <c r="E422" s="2">
        <v>6</v>
      </c>
    </row>
    <row r="423" spans="1:5" x14ac:dyDescent="0.25">
      <c r="A423" s="2" t="s">
        <v>1290</v>
      </c>
      <c r="B423" s="2">
        <v>2026</v>
      </c>
      <c r="C423" s="2">
        <v>4</v>
      </c>
      <c r="D423" s="2">
        <v>60</v>
      </c>
      <c r="E423" s="2">
        <v>6</v>
      </c>
    </row>
    <row r="424" spans="1:5" x14ac:dyDescent="0.25">
      <c r="A424" s="2" t="s">
        <v>1293</v>
      </c>
      <c r="B424" s="2">
        <v>2026</v>
      </c>
      <c r="C424" s="2">
        <v>4</v>
      </c>
      <c r="D424" s="2">
        <v>53</v>
      </c>
      <c r="E424" s="2">
        <v>8</v>
      </c>
    </row>
    <row r="425" spans="1:5" x14ac:dyDescent="0.25">
      <c r="A425" s="2" t="s">
        <v>1296</v>
      </c>
      <c r="B425" s="2">
        <v>2026</v>
      </c>
      <c r="C425" s="2">
        <v>3</v>
      </c>
      <c r="D425" s="2">
        <v>17</v>
      </c>
      <c r="E425" s="2">
        <v>9</v>
      </c>
    </row>
    <row r="426" spans="1:5" x14ac:dyDescent="0.25">
      <c r="A426" s="2" t="s">
        <v>1299</v>
      </c>
      <c r="B426" s="2">
        <v>2026</v>
      </c>
      <c r="C426" s="2">
        <v>2</v>
      </c>
      <c r="D426" s="2">
        <v>25</v>
      </c>
      <c r="E426" s="2">
        <v>7</v>
      </c>
    </row>
    <row r="427" spans="1:5" x14ac:dyDescent="0.25">
      <c r="A427" s="2" t="s">
        <v>1302</v>
      </c>
      <c r="B427" s="2">
        <v>2026</v>
      </c>
      <c r="C427" s="2">
        <v>5</v>
      </c>
      <c r="D427" s="2">
        <v>42</v>
      </c>
      <c r="E427" s="2">
        <v>2</v>
      </c>
    </row>
    <row r="428" spans="1:5" x14ac:dyDescent="0.25">
      <c r="A428" s="2" t="s">
        <v>1305</v>
      </c>
      <c r="B428" s="2">
        <v>2026</v>
      </c>
      <c r="C428" s="2">
        <v>3</v>
      </c>
      <c r="D428" s="2">
        <v>2</v>
      </c>
      <c r="E428" s="2">
        <v>2</v>
      </c>
    </row>
    <row r="429" spans="1:5" x14ac:dyDescent="0.25">
      <c r="A429" s="2" t="s">
        <v>1308</v>
      </c>
      <c r="B429" s="2">
        <v>2026</v>
      </c>
      <c r="C429" s="2">
        <v>2</v>
      </c>
      <c r="D429" s="2">
        <v>19</v>
      </c>
      <c r="E429" s="2">
        <v>3</v>
      </c>
    </row>
    <row r="430" spans="1:5" x14ac:dyDescent="0.25">
      <c r="A430" s="2" t="s">
        <v>1310</v>
      </c>
      <c r="B430" s="2">
        <v>2026</v>
      </c>
      <c r="C430" s="2">
        <v>1</v>
      </c>
      <c r="D430" s="2">
        <v>35</v>
      </c>
      <c r="E430" s="2">
        <v>5</v>
      </c>
    </row>
    <row r="431" spans="1:5" x14ac:dyDescent="0.25">
      <c r="A431" s="2" t="s">
        <v>1312</v>
      </c>
      <c r="B431" s="2">
        <v>2026</v>
      </c>
      <c r="C431" s="2">
        <v>5</v>
      </c>
      <c r="D431" s="2">
        <v>12</v>
      </c>
      <c r="E431" s="2">
        <v>7</v>
      </c>
    </row>
    <row r="432" spans="1:5" x14ac:dyDescent="0.25">
      <c r="A432" s="2" t="s">
        <v>1315</v>
      </c>
      <c r="B432" s="2">
        <v>2026</v>
      </c>
      <c r="C432" s="2">
        <v>2</v>
      </c>
      <c r="D432" s="2">
        <v>55</v>
      </c>
      <c r="E432" s="2">
        <v>3</v>
      </c>
    </row>
    <row r="433" spans="1:5" x14ac:dyDescent="0.25">
      <c r="A433" s="2" t="s">
        <v>1318</v>
      </c>
      <c r="B433" s="2">
        <v>2026</v>
      </c>
      <c r="C433" s="2">
        <v>4</v>
      </c>
      <c r="D433" s="2">
        <v>41</v>
      </c>
      <c r="E433" s="2">
        <v>7</v>
      </c>
    </row>
    <row r="434" spans="1:5" x14ac:dyDescent="0.25">
      <c r="A434" s="2" t="s">
        <v>1321</v>
      </c>
      <c r="B434" s="2">
        <v>2026</v>
      </c>
      <c r="C434" s="2">
        <v>1</v>
      </c>
      <c r="D434" s="2">
        <v>45</v>
      </c>
      <c r="E434" s="2">
        <v>7</v>
      </c>
    </row>
    <row r="435" spans="1:5" x14ac:dyDescent="0.25">
      <c r="A435" s="2" t="s">
        <v>1324</v>
      </c>
      <c r="B435" s="2">
        <v>2026</v>
      </c>
      <c r="C435" s="2">
        <v>4</v>
      </c>
      <c r="D435" s="2">
        <v>51</v>
      </c>
      <c r="E435" s="2">
        <v>9</v>
      </c>
    </row>
    <row r="436" spans="1:5" x14ac:dyDescent="0.25">
      <c r="A436" s="2" t="s">
        <v>1327</v>
      </c>
      <c r="B436" s="2">
        <v>2026</v>
      </c>
      <c r="C436" s="2">
        <v>1</v>
      </c>
      <c r="D436" s="2">
        <v>5</v>
      </c>
      <c r="E436" s="2">
        <v>10</v>
      </c>
    </row>
    <row r="437" spans="1:5" x14ac:dyDescent="0.25">
      <c r="A437" s="2" t="s">
        <v>1329</v>
      </c>
      <c r="B437" s="2">
        <v>2026</v>
      </c>
      <c r="C437" s="2">
        <v>1</v>
      </c>
      <c r="D437" s="2">
        <v>27</v>
      </c>
      <c r="E437" s="2">
        <v>9</v>
      </c>
    </row>
    <row r="438" spans="1:5" x14ac:dyDescent="0.25">
      <c r="A438" s="2" t="s">
        <v>1331</v>
      </c>
      <c r="B438" s="2">
        <v>2026</v>
      </c>
      <c r="C438" s="2">
        <v>2</v>
      </c>
      <c r="D438" s="2">
        <v>41</v>
      </c>
      <c r="E438" s="2">
        <v>5</v>
      </c>
    </row>
    <row r="439" spans="1:5" x14ac:dyDescent="0.25">
      <c r="A439" s="2" t="s">
        <v>1334</v>
      </c>
      <c r="B439" s="2">
        <v>2026</v>
      </c>
      <c r="C439" s="2">
        <v>2</v>
      </c>
      <c r="D439" s="2">
        <v>58</v>
      </c>
      <c r="E439" s="2">
        <v>11</v>
      </c>
    </row>
    <row r="440" spans="1:5" x14ac:dyDescent="0.25">
      <c r="A440" s="2" t="s">
        <v>1337</v>
      </c>
      <c r="B440" s="2">
        <v>2026</v>
      </c>
      <c r="C440" s="2">
        <v>2</v>
      </c>
      <c r="D440" s="2">
        <v>58</v>
      </c>
      <c r="E440" s="2">
        <v>9</v>
      </c>
    </row>
    <row r="441" spans="1:5" x14ac:dyDescent="0.25">
      <c r="A441" s="2" t="s">
        <v>1340</v>
      </c>
      <c r="B441" s="2">
        <v>2026</v>
      </c>
      <c r="C441" s="2">
        <v>4</v>
      </c>
      <c r="D441" s="2">
        <v>28</v>
      </c>
      <c r="E441" s="2">
        <v>1</v>
      </c>
    </row>
    <row r="442" spans="1:5" x14ac:dyDescent="0.25">
      <c r="A442" s="2" t="s">
        <v>1342</v>
      </c>
      <c r="B442" s="2">
        <v>2026</v>
      </c>
      <c r="C442" s="2">
        <v>2</v>
      </c>
      <c r="D442" s="2">
        <v>35</v>
      </c>
      <c r="E442" s="2">
        <v>12</v>
      </c>
    </row>
    <row r="443" spans="1:5" x14ac:dyDescent="0.25">
      <c r="A443" s="2" t="s">
        <v>1345</v>
      </c>
      <c r="B443" s="2">
        <v>2026</v>
      </c>
      <c r="C443" s="2">
        <v>2</v>
      </c>
      <c r="D443" s="2">
        <v>37</v>
      </c>
      <c r="E443" s="2">
        <v>6</v>
      </c>
    </row>
    <row r="444" spans="1:5" x14ac:dyDescent="0.25">
      <c r="A444" s="2" t="s">
        <v>1348</v>
      </c>
      <c r="B444" s="2">
        <v>2026</v>
      </c>
      <c r="C444" s="2">
        <v>2</v>
      </c>
      <c r="D444" s="2">
        <v>51</v>
      </c>
      <c r="E444" s="2">
        <v>2</v>
      </c>
    </row>
    <row r="445" spans="1:5" x14ac:dyDescent="0.25">
      <c r="A445" s="2" t="s">
        <v>1351</v>
      </c>
      <c r="B445" s="2">
        <v>2026</v>
      </c>
      <c r="C445" s="2">
        <v>2</v>
      </c>
      <c r="D445" s="2">
        <v>13</v>
      </c>
      <c r="E445" s="2">
        <v>5</v>
      </c>
    </row>
    <row r="446" spans="1:5" x14ac:dyDescent="0.25">
      <c r="A446" s="2" t="s">
        <v>1354</v>
      </c>
      <c r="B446" s="2">
        <v>2026</v>
      </c>
      <c r="C446" s="2">
        <v>2</v>
      </c>
      <c r="D446" s="2">
        <v>27</v>
      </c>
      <c r="E446" s="2">
        <v>10</v>
      </c>
    </row>
    <row r="447" spans="1:5" x14ac:dyDescent="0.25">
      <c r="A447" s="2" t="s">
        <v>1357</v>
      </c>
      <c r="B447" s="2">
        <v>2026</v>
      </c>
      <c r="C447" s="2">
        <v>1</v>
      </c>
      <c r="D447" s="2">
        <v>58</v>
      </c>
      <c r="E447" s="2">
        <v>11</v>
      </c>
    </row>
    <row r="448" spans="1:5" x14ac:dyDescent="0.25">
      <c r="A448" s="2" t="s">
        <v>1360</v>
      </c>
      <c r="B448" s="2">
        <v>2026</v>
      </c>
      <c r="C448" s="2">
        <v>1</v>
      </c>
      <c r="D448" s="2">
        <v>32</v>
      </c>
      <c r="E448" s="2">
        <v>10</v>
      </c>
    </row>
    <row r="449" spans="1:5" x14ac:dyDescent="0.25">
      <c r="A449" s="2" t="s">
        <v>1363</v>
      </c>
      <c r="B449" s="2">
        <v>2026</v>
      </c>
      <c r="C449" s="2">
        <v>4</v>
      </c>
      <c r="D449" s="2">
        <v>57</v>
      </c>
      <c r="E449" s="2">
        <v>6</v>
      </c>
    </row>
    <row r="450" spans="1:5" x14ac:dyDescent="0.25">
      <c r="A450" s="2" t="s">
        <v>1366</v>
      </c>
      <c r="B450" s="2">
        <v>2026</v>
      </c>
      <c r="C450" s="2">
        <v>1</v>
      </c>
      <c r="D450" s="2">
        <v>32</v>
      </c>
      <c r="E450" s="2">
        <v>0</v>
      </c>
    </row>
    <row r="451" spans="1:5" x14ac:dyDescent="0.25">
      <c r="A451" s="2" t="s">
        <v>1369</v>
      </c>
      <c r="B451" s="2">
        <v>2026</v>
      </c>
      <c r="C451" s="2">
        <v>2</v>
      </c>
      <c r="D451" s="2">
        <v>59</v>
      </c>
      <c r="E451" s="2">
        <v>9</v>
      </c>
    </row>
    <row r="452" spans="1:5" x14ac:dyDescent="0.25">
      <c r="A452" s="2" t="s">
        <v>1372</v>
      </c>
      <c r="B452" s="2">
        <v>2026</v>
      </c>
      <c r="C452" s="2">
        <v>5</v>
      </c>
      <c r="D452" s="2">
        <v>49</v>
      </c>
      <c r="E452" s="2">
        <v>6</v>
      </c>
    </row>
    <row r="453" spans="1:5" x14ac:dyDescent="0.25">
      <c r="A453" s="2" t="s">
        <v>1375</v>
      </c>
      <c r="B453" s="2">
        <v>2026</v>
      </c>
      <c r="C453" s="2">
        <v>3</v>
      </c>
      <c r="D453" s="2">
        <v>5</v>
      </c>
      <c r="E453" s="2">
        <v>1</v>
      </c>
    </row>
    <row r="454" spans="1:5" x14ac:dyDescent="0.25">
      <c r="A454" s="2" t="s">
        <v>1378</v>
      </c>
      <c r="B454" s="2">
        <v>2026</v>
      </c>
      <c r="C454" s="2">
        <v>4</v>
      </c>
      <c r="D454" s="2">
        <v>58</v>
      </c>
      <c r="E454" s="2">
        <v>10</v>
      </c>
    </row>
    <row r="455" spans="1:5" x14ac:dyDescent="0.25">
      <c r="A455" s="2" t="s">
        <v>1381</v>
      </c>
      <c r="B455" s="2">
        <v>2026</v>
      </c>
      <c r="C455" s="2">
        <v>2</v>
      </c>
      <c r="D455" s="2">
        <v>35</v>
      </c>
      <c r="E455" s="2">
        <v>4</v>
      </c>
    </row>
    <row r="456" spans="1:5" x14ac:dyDescent="0.25">
      <c r="A456" s="2" t="s">
        <v>1384</v>
      </c>
      <c r="B456" s="2">
        <v>2026</v>
      </c>
      <c r="C456" s="2">
        <v>3</v>
      </c>
      <c r="D456" s="2">
        <v>1</v>
      </c>
      <c r="E456" s="2">
        <v>1</v>
      </c>
    </row>
    <row r="457" spans="1:5" x14ac:dyDescent="0.25">
      <c r="A457" s="2" t="s">
        <v>1387</v>
      </c>
      <c r="B457" s="2">
        <v>2026</v>
      </c>
      <c r="C457" s="2">
        <v>4</v>
      </c>
      <c r="D457" s="2">
        <v>17</v>
      </c>
      <c r="E457" s="2">
        <v>5</v>
      </c>
    </row>
    <row r="458" spans="1:5" x14ac:dyDescent="0.25">
      <c r="A458" s="2" t="s">
        <v>1390</v>
      </c>
      <c r="B458" s="2">
        <v>2026</v>
      </c>
      <c r="C458" s="2">
        <v>1</v>
      </c>
      <c r="D458" s="2">
        <v>47</v>
      </c>
      <c r="E458" s="2">
        <v>7</v>
      </c>
    </row>
    <row r="459" spans="1:5" x14ac:dyDescent="0.25">
      <c r="A459" s="2" t="s">
        <v>1393</v>
      </c>
      <c r="B459" s="2">
        <v>2026</v>
      </c>
      <c r="C459" s="2">
        <v>4</v>
      </c>
      <c r="D459" s="2">
        <v>18</v>
      </c>
      <c r="E459" s="2">
        <v>3</v>
      </c>
    </row>
    <row r="460" spans="1:5" x14ac:dyDescent="0.25">
      <c r="A460" s="2" t="s">
        <v>1396</v>
      </c>
      <c r="B460" s="2">
        <v>2026</v>
      </c>
      <c r="C460" s="2">
        <v>3</v>
      </c>
      <c r="D460" s="2">
        <v>21</v>
      </c>
      <c r="E460" s="2">
        <v>12</v>
      </c>
    </row>
    <row r="461" spans="1:5" x14ac:dyDescent="0.25">
      <c r="A461" s="2" t="s">
        <v>1399</v>
      </c>
      <c r="B461" s="2">
        <v>2026</v>
      </c>
      <c r="C461" s="2">
        <v>1</v>
      </c>
      <c r="D461" s="2">
        <v>41</v>
      </c>
      <c r="E461" s="2">
        <v>5</v>
      </c>
    </row>
    <row r="462" spans="1:5" x14ac:dyDescent="0.25">
      <c r="A462" s="2" t="s">
        <v>1401</v>
      </c>
      <c r="B462" s="2">
        <v>2026</v>
      </c>
      <c r="C462" s="2">
        <v>2</v>
      </c>
      <c r="D462" s="2">
        <v>29</v>
      </c>
      <c r="E462" s="2">
        <v>0</v>
      </c>
    </row>
    <row r="463" spans="1:5" x14ac:dyDescent="0.25">
      <c r="A463" s="2" t="s">
        <v>1404</v>
      </c>
      <c r="B463" s="2">
        <v>2026</v>
      </c>
      <c r="C463" s="2">
        <v>2</v>
      </c>
      <c r="D463" s="2">
        <v>21</v>
      </c>
      <c r="E463" s="2">
        <v>0</v>
      </c>
    </row>
    <row r="464" spans="1:5" x14ac:dyDescent="0.25">
      <c r="A464" s="2" t="s">
        <v>1407</v>
      </c>
      <c r="B464" s="2">
        <v>2026</v>
      </c>
      <c r="C464" s="2">
        <v>1</v>
      </c>
      <c r="D464" s="2">
        <v>1</v>
      </c>
      <c r="E464" s="2">
        <v>5</v>
      </c>
    </row>
    <row r="465" spans="1:5" x14ac:dyDescent="0.25">
      <c r="A465" s="2" t="s">
        <v>1410</v>
      </c>
      <c r="B465" s="2">
        <v>2026</v>
      </c>
      <c r="C465" s="2">
        <v>4</v>
      </c>
      <c r="D465" s="2">
        <v>30</v>
      </c>
      <c r="E465" s="2">
        <v>9</v>
      </c>
    </row>
    <row r="466" spans="1:5" x14ac:dyDescent="0.25">
      <c r="A466" s="2" t="s">
        <v>1413</v>
      </c>
      <c r="B466" s="2">
        <v>2026</v>
      </c>
      <c r="C466" s="2">
        <v>3</v>
      </c>
      <c r="D466" s="2">
        <v>35</v>
      </c>
      <c r="E466" s="2">
        <v>9</v>
      </c>
    </row>
    <row r="467" spans="1:5" x14ac:dyDescent="0.25">
      <c r="A467" s="2" t="s">
        <v>1416</v>
      </c>
      <c r="B467" s="2">
        <v>2026</v>
      </c>
      <c r="C467" s="2">
        <v>1</v>
      </c>
      <c r="D467" s="2">
        <v>25</v>
      </c>
      <c r="E467" s="2">
        <v>5</v>
      </c>
    </row>
    <row r="468" spans="1:5" x14ac:dyDescent="0.25">
      <c r="A468" s="2" t="s">
        <v>1419</v>
      </c>
      <c r="B468" s="2">
        <v>2026</v>
      </c>
      <c r="C468" s="2">
        <v>2</v>
      </c>
      <c r="D468" s="2">
        <v>44</v>
      </c>
      <c r="E468" s="2">
        <v>2</v>
      </c>
    </row>
    <row r="469" spans="1:5" x14ac:dyDescent="0.25">
      <c r="A469" s="2" t="s">
        <v>1422</v>
      </c>
      <c r="B469" s="2">
        <v>2026</v>
      </c>
      <c r="C469" s="2">
        <v>2</v>
      </c>
      <c r="D469" s="2">
        <v>38</v>
      </c>
      <c r="E469" s="2">
        <v>11</v>
      </c>
    </row>
    <row r="470" spans="1:5" x14ac:dyDescent="0.25">
      <c r="A470" s="2" t="s">
        <v>1425</v>
      </c>
      <c r="B470" s="2">
        <v>2026</v>
      </c>
      <c r="C470" s="2">
        <v>4</v>
      </c>
      <c r="D470" s="2">
        <v>56</v>
      </c>
      <c r="E470" s="2">
        <v>6</v>
      </c>
    </row>
    <row r="471" spans="1:5" x14ac:dyDescent="0.25">
      <c r="A471" s="2" t="s">
        <v>1428</v>
      </c>
      <c r="B471" s="2">
        <v>2026</v>
      </c>
      <c r="C471" s="2">
        <v>1</v>
      </c>
      <c r="D471" s="2">
        <v>20</v>
      </c>
      <c r="E471" s="2">
        <v>4</v>
      </c>
    </row>
    <row r="472" spans="1:5" x14ac:dyDescent="0.25">
      <c r="A472" s="2" t="s">
        <v>1431</v>
      </c>
      <c r="B472" s="2">
        <v>2026</v>
      </c>
      <c r="C472" s="2">
        <v>4</v>
      </c>
      <c r="D472" s="2">
        <v>28</v>
      </c>
      <c r="E472" s="2">
        <v>4</v>
      </c>
    </row>
    <row r="473" spans="1:5" x14ac:dyDescent="0.25">
      <c r="A473" s="2" t="s">
        <v>1433</v>
      </c>
      <c r="B473" s="2">
        <v>2026</v>
      </c>
      <c r="C473" s="2">
        <v>4</v>
      </c>
      <c r="D473" s="2">
        <v>30</v>
      </c>
      <c r="E473" s="2">
        <v>5</v>
      </c>
    </row>
    <row r="474" spans="1:5" x14ac:dyDescent="0.25">
      <c r="A474" s="2" t="s">
        <v>1436</v>
      </c>
      <c r="B474" s="2">
        <v>2026</v>
      </c>
      <c r="C474" s="2">
        <v>5</v>
      </c>
      <c r="D474" s="2">
        <v>47</v>
      </c>
      <c r="E474" s="2">
        <v>4</v>
      </c>
    </row>
    <row r="475" spans="1:5" x14ac:dyDescent="0.25">
      <c r="A475" s="2" t="s">
        <v>1438</v>
      </c>
      <c r="B475" s="2">
        <v>2026</v>
      </c>
      <c r="C475" s="2">
        <v>4</v>
      </c>
      <c r="D475" s="2">
        <v>32</v>
      </c>
      <c r="E475" s="2">
        <v>8</v>
      </c>
    </row>
    <row r="476" spans="1:5" x14ac:dyDescent="0.25">
      <c r="A476" s="2" t="s">
        <v>1441</v>
      </c>
      <c r="B476" s="2">
        <v>2026</v>
      </c>
      <c r="C476" s="2">
        <v>4</v>
      </c>
      <c r="D476" s="2">
        <v>25</v>
      </c>
      <c r="E476" s="2">
        <v>1</v>
      </c>
    </row>
    <row r="477" spans="1:5" x14ac:dyDescent="0.25">
      <c r="A477" s="2" t="s">
        <v>1443</v>
      </c>
      <c r="B477" s="2">
        <v>2026</v>
      </c>
      <c r="C477" s="2">
        <v>5</v>
      </c>
      <c r="D477" s="2">
        <v>20</v>
      </c>
      <c r="E477" s="2">
        <v>3</v>
      </c>
    </row>
    <row r="478" spans="1:5" x14ac:dyDescent="0.25">
      <c r="A478" s="2" t="s">
        <v>1446</v>
      </c>
      <c r="B478" s="2">
        <v>2026</v>
      </c>
      <c r="C478" s="2">
        <v>3</v>
      </c>
      <c r="D478" s="2">
        <v>50</v>
      </c>
      <c r="E478" s="2">
        <v>11</v>
      </c>
    </row>
    <row r="479" spans="1:5" x14ac:dyDescent="0.25">
      <c r="A479" s="2" t="s">
        <v>1449</v>
      </c>
      <c r="B479" s="2">
        <v>2026</v>
      </c>
      <c r="C479" s="2">
        <v>3</v>
      </c>
      <c r="D479" s="2">
        <v>17</v>
      </c>
      <c r="E479" s="2">
        <v>0</v>
      </c>
    </row>
    <row r="480" spans="1:5" x14ac:dyDescent="0.25">
      <c r="A480" s="2" t="s">
        <v>1451</v>
      </c>
      <c r="B480" s="2">
        <v>2026</v>
      </c>
      <c r="C480" s="2">
        <v>3</v>
      </c>
      <c r="D480" s="2">
        <v>28</v>
      </c>
      <c r="E480" s="2">
        <v>9</v>
      </c>
    </row>
    <row r="481" spans="1:5" x14ac:dyDescent="0.25">
      <c r="A481" s="2" t="s">
        <v>1454</v>
      </c>
      <c r="B481" s="2">
        <v>2026</v>
      </c>
      <c r="C481" s="2">
        <v>2</v>
      </c>
      <c r="D481" s="2">
        <v>19</v>
      </c>
      <c r="E481" s="2">
        <v>10</v>
      </c>
    </row>
    <row r="482" spans="1:5" x14ac:dyDescent="0.25">
      <c r="A482" s="2" t="s">
        <v>1457</v>
      </c>
      <c r="B482" s="2">
        <v>2026</v>
      </c>
      <c r="C482" s="2">
        <v>5</v>
      </c>
      <c r="D482" s="2">
        <v>1</v>
      </c>
      <c r="E482" s="2">
        <v>3</v>
      </c>
    </row>
    <row r="483" spans="1:5" x14ac:dyDescent="0.25">
      <c r="A483" s="2" t="s">
        <v>1460</v>
      </c>
      <c r="B483" s="2">
        <v>2026</v>
      </c>
      <c r="C483" s="2">
        <v>3</v>
      </c>
      <c r="D483" s="2">
        <v>16</v>
      </c>
      <c r="E483" s="2">
        <v>2</v>
      </c>
    </row>
    <row r="484" spans="1:5" x14ac:dyDescent="0.25">
      <c r="A484" s="2" t="s">
        <v>1463</v>
      </c>
      <c r="B484" s="2">
        <v>2026</v>
      </c>
      <c r="C484" s="2">
        <v>3</v>
      </c>
      <c r="D484" s="2">
        <v>32</v>
      </c>
      <c r="E484" s="2">
        <v>6</v>
      </c>
    </row>
    <row r="485" spans="1:5" x14ac:dyDescent="0.25">
      <c r="A485" s="2" t="s">
        <v>1466</v>
      </c>
      <c r="B485" s="2">
        <v>2026</v>
      </c>
      <c r="C485" s="2">
        <v>2</v>
      </c>
      <c r="D485" s="2">
        <v>52</v>
      </c>
      <c r="E485" s="2">
        <v>2</v>
      </c>
    </row>
    <row r="486" spans="1:5" x14ac:dyDescent="0.25">
      <c r="A486" s="2" t="s">
        <v>1469</v>
      </c>
      <c r="B486" s="2">
        <v>2026</v>
      </c>
      <c r="C486" s="2">
        <v>4</v>
      </c>
      <c r="D486" s="2">
        <v>14</v>
      </c>
      <c r="E486" s="2">
        <v>4</v>
      </c>
    </row>
    <row r="487" spans="1:5" x14ac:dyDescent="0.25">
      <c r="A487" s="2" t="s">
        <v>1472</v>
      </c>
      <c r="B487" s="2">
        <v>2026</v>
      </c>
      <c r="C487" s="2">
        <v>4</v>
      </c>
      <c r="D487" s="2">
        <v>15</v>
      </c>
      <c r="E487" s="2">
        <v>6</v>
      </c>
    </row>
    <row r="488" spans="1:5" x14ac:dyDescent="0.25">
      <c r="A488" s="2" t="s">
        <v>1475</v>
      </c>
      <c r="B488" s="2">
        <v>2026</v>
      </c>
      <c r="C488" s="2">
        <v>2</v>
      </c>
      <c r="D488" s="2">
        <v>45</v>
      </c>
      <c r="E488" s="2">
        <v>8</v>
      </c>
    </row>
    <row r="489" spans="1:5" x14ac:dyDescent="0.25">
      <c r="A489" s="2" t="s">
        <v>1478</v>
      </c>
      <c r="B489" s="2">
        <v>2026</v>
      </c>
      <c r="C489" s="2">
        <v>1</v>
      </c>
      <c r="D489" s="2">
        <v>30</v>
      </c>
      <c r="E489" s="2">
        <v>3</v>
      </c>
    </row>
    <row r="490" spans="1:5" x14ac:dyDescent="0.25">
      <c r="A490" s="2" t="s">
        <v>1481</v>
      </c>
      <c r="B490" s="2">
        <v>2026</v>
      </c>
      <c r="C490" s="2">
        <v>5</v>
      </c>
      <c r="D490" s="2">
        <v>1</v>
      </c>
      <c r="E490" s="2">
        <v>2</v>
      </c>
    </row>
    <row r="491" spans="1:5" x14ac:dyDescent="0.25">
      <c r="A491" s="2" t="s">
        <v>1483</v>
      </c>
      <c r="B491" s="2">
        <v>2026</v>
      </c>
      <c r="C491" s="2">
        <v>2</v>
      </c>
      <c r="D491" s="2">
        <v>54</v>
      </c>
      <c r="E491" s="2">
        <v>11</v>
      </c>
    </row>
    <row r="492" spans="1:5" x14ac:dyDescent="0.25">
      <c r="A492" s="2" t="s">
        <v>1486</v>
      </c>
      <c r="B492" s="2">
        <v>2026</v>
      </c>
      <c r="C492" s="2">
        <v>4</v>
      </c>
      <c r="D492" s="2">
        <v>9</v>
      </c>
      <c r="E492" s="2">
        <v>6</v>
      </c>
    </row>
    <row r="493" spans="1:5" x14ac:dyDescent="0.25">
      <c r="A493" s="2" t="s">
        <v>1488</v>
      </c>
      <c r="B493" s="2">
        <v>2026</v>
      </c>
      <c r="C493" s="2">
        <v>5</v>
      </c>
      <c r="D493" s="2">
        <v>33</v>
      </c>
      <c r="E493" s="2">
        <v>7</v>
      </c>
    </row>
    <row r="494" spans="1:5" x14ac:dyDescent="0.25">
      <c r="A494" s="2" t="s">
        <v>1491</v>
      </c>
      <c r="B494" s="2">
        <v>2026</v>
      </c>
      <c r="C494" s="2">
        <v>1</v>
      </c>
      <c r="D494" s="2">
        <v>18</v>
      </c>
      <c r="E494" s="2">
        <v>12</v>
      </c>
    </row>
    <row r="495" spans="1:5" x14ac:dyDescent="0.25">
      <c r="A495" s="2" t="s">
        <v>1493</v>
      </c>
      <c r="B495" s="2">
        <v>2026</v>
      </c>
      <c r="C495" s="2">
        <v>5</v>
      </c>
      <c r="D495" s="2">
        <v>53</v>
      </c>
      <c r="E495" s="2">
        <v>2</v>
      </c>
    </row>
    <row r="496" spans="1:5" x14ac:dyDescent="0.25">
      <c r="A496" s="2" t="s">
        <v>1496</v>
      </c>
      <c r="B496" s="2">
        <v>2026</v>
      </c>
      <c r="C496" s="2">
        <v>4</v>
      </c>
      <c r="D496" s="2">
        <v>12</v>
      </c>
      <c r="E496" s="2">
        <v>0</v>
      </c>
    </row>
    <row r="497" spans="1:5" x14ac:dyDescent="0.25">
      <c r="A497" s="2" t="s">
        <v>1499</v>
      </c>
      <c r="B497" s="2">
        <v>2026</v>
      </c>
      <c r="C497" s="2">
        <v>1</v>
      </c>
      <c r="D497" s="2">
        <v>54</v>
      </c>
      <c r="E497" s="2">
        <v>0</v>
      </c>
    </row>
    <row r="498" spans="1:5" x14ac:dyDescent="0.25">
      <c r="A498" s="2" t="s">
        <v>1502</v>
      </c>
      <c r="B498" s="2">
        <v>2026</v>
      </c>
      <c r="C498" s="2">
        <v>2</v>
      </c>
      <c r="D498" s="2">
        <v>28</v>
      </c>
      <c r="E498" s="2">
        <v>11</v>
      </c>
    </row>
    <row r="499" spans="1:5" x14ac:dyDescent="0.25">
      <c r="A499" s="2" t="s">
        <v>1505</v>
      </c>
      <c r="B499" s="2">
        <v>2026</v>
      </c>
      <c r="C499" s="2">
        <v>2</v>
      </c>
      <c r="D499" s="2">
        <v>36</v>
      </c>
      <c r="E499" s="2">
        <v>2</v>
      </c>
    </row>
    <row r="500" spans="1:5" x14ac:dyDescent="0.25">
      <c r="A500" s="2" t="s">
        <v>1508</v>
      </c>
      <c r="B500" s="2">
        <v>2026</v>
      </c>
      <c r="C500" s="2">
        <v>3</v>
      </c>
      <c r="D500" s="2">
        <v>4</v>
      </c>
      <c r="E500" s="2">
        <v>2</v>
      </c>
    </row>
    <row r="501" spans="1:5" x14ac:dyDescent="0.25">
      <c r="A501" s="2" t="s">
        <v>1511</v>
      </c>
      <c r="B501" s="2">
        <v>2026</v>
      </c>
      <c r="C501" s="2">
        <v>3</v>
      </c>
      <c r="D501" s="2">
        <v>47</v>
      </c>
      <c r="E501" s="2">
        <v>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zoomScaleNormal="100" workbookViewId="0">
      <selection activeCell="A2" sqref="A2"/>
    </sheetView>
  </sheetViews>
  <sheetFormatPr defaultColWidth="8.7109375" defaultRowHeight="15" x14ac:dyDescent="0.25"/>
  <cols>
    <col min="1" max="1" width="38" customWidth="1"/>
    <col min="2" max="2" width="14" customWidth="1"/>
  </cols>
  <sheetData>
    <row r="1" spans="1:2" x14ac:dyDescent="0.25">
      <c r="A1" s="12" t="s">
        <v>1530</v>
      </c>
      <c r="B1" s="12" t="s">
        <v>1531</v>
      </c>
    </row>
    <row r="2" spans="1:2" x14ac:dyDescent="0.25">
      <c r="A2" s="13" t="s">
        <v>1532</v>
      </c>
      <c r="B2" s="6">
        <f>COUNTIF(Employees!$L$2:$L$501,"Active")</f>
        <v>237</v>
      </c>
    </row>
    <row r="3" spans="1:2" x14ac:dyDescent="0.25">
      <c r="A3" s="6" t="s">
        <v>1533</v>
      </c>
      <c r="B3" s="6">
        <f>COUNTIFS(Employees!$G$2:$G$501,"Analyst",Employees!$J$2:$J$501,"Kolkata")</f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6289F-8F27-4017-8D2D-8861B4873E02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Employees</vt:lpstr>
      <vt:lpstr>Departments</vt:lpstr>
      <vt:lpstr>Performance</vt:lpstr>
      <vt:lpstr>Summary</vt:lpstr>
      <vt:lpstr>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Prabin Mondal</cp:lastModifiedBy>
  <cp:revision>0</cp:revision>
  <dcterms:created xsi:type="dcterms:W3CDTF">2026-07-30T06:46:47Z</dcterms:created>
  <dcterms:modified xsi:type="dcterms:W3CDTF">2026-08-19T10:40:55Z</dcterms:modified>
  <dc:language>en-US</dc:language>
</cp:coreProperties>
</file>