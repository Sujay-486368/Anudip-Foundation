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i\Downloads\"/>
    </mc:Choice>
  </mc:AlternateContent>
  <xr:revisionPtr revIDLastSave="0" documentId="8_{4899D1BE-949D-4610-A25D-4FBE92D4743C}" xr6:coauthVersionLast="47" xr6:coauthVersionMax="47" xr10:uidLastSave="{00000000-0000-0000-0000-000000000000}"/>
  <bookViews>
    <workbookView xWindow="-120" yWindow="-120" windowWidth="20730" windowHeight="11040" xr2:uid="{9150DA60-160B-4274-8D4E-C5060013D25F}"/>
  </bookViews>
  <sheets>
    <sheet name="IF-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  <c r="M3" i="1"/>
  <c r="M4" i="1"/>
  <c r="M5" i="1"/>
  <c r="M6" i="1"/>
  <c r="M7" i="1"/>
  <c r="M2" i="1"/>
  <c r="L2" i="1"/>
  <c r="L3" i="1"/>
  <c r="L4" i="1"/>
  <c r="L5" i="1"/>
  <c r="L6" i="1"/>
  <c r="L7" i="1"/>
  <c r="K3" i="1"/>
  <c r="K4" i="1"/>
  <c r="K5" i="1"/>
  <c r="K6" i="1"/>
  <c r="K7" i="1"/>
  <c r="K2" i="1"/>
  <c r="J3" i="1"/>
  <c r="J4" i="1"/>
  <c r="J5" i="1"/>
  <c r="J6" i="1"/>
  <c r="J7" i="1"/>
  <c r="J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<sst xmlns="http://schemas.openxmlformats.org/spreadsheetml/2006/main" count="34" uniqueCount="33">
  <si>
    <t>Product</t>
  </si>
  <si>
    <t>Sales</t>
  </si>
  <si>
    <t>Target</t>
  </si>
  <si>
    <t xml:space="preserve">Region </t>
  </si>
  <si>
    <t>Prouct A</t>
  </si>
  <si>
    <t>Prouct B</t>
  </si>
  <si>
    <t>Prouct C</t>
  </si>
  <si>
    <t>Prouct D</t>
  </si>
  <si>
    <t>Prouct E</t>
  </si>
  <si>
    <t>Prouct F</t>
  </si>
  <si>
    <t>ProductID</t>
  </si>
  <si>
    <t>North</t>
  </si>
  <si>
    <t>south</t>
  </si>
  <si>
    <t>East</t>
  </si>
  <si>
    <t>West</t>
  </si>
  <si>
    <t>South</t>
  </si>
  <si>
    <r>
      <rPr>
        <b/>
        <sz val="11"/>
        <color theme="1"/>
        <rFont val="Aptos Narrow"/>
        <family val="2"/>
        <scheme val="minor"/>
      </rPr>
      <t>3.</t>
    </r>
    <r>
      <rPr>
        <sz val="11"/>
        <color theme="1"/>
        <rFont val="Aptos Narrow"/>
        <family val="2"/>
        <scheme val="minor"/>
      </rPr>
      <t xml:space="preserve"> Use nested IF functions to assign a commission rate based on sales. Sales &gt;= 200 get a 10% commission, sales &gt;= 150 get a 7% commission, and others get a 5% commission. </t>
    </r>
  </si>
  <si>
    <r>
      <rPr>
        <b/>
        <sz val="11"/>
        <color theme="1"/>
        <rFont val="Aptos Narrow"/>
        <family val="2"/>
        <scheme val="minor"/>
      </rPr>
      <t xml:space="preserve">1. </t>
    </r>
    <r>
      <rPr>
        <sz val="11"/>
        <color theme="1"/>
        <rFont val="Aptos Narrow"/>
        <family val="2"/>
        <scheme val="minor"/>
      </rPr>
      <t>Use the IF function to evaluate whether each product met its sales target.</t>
    </r>
  </si>
  <si>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 xml:space="preserve"> Use the IF function to determine if a product is eligible for a regional bonus. Products in the "North" region with sales over 200 are eligible. </t>
    </r>
  </si>
  <si>
    <r>
      <rPr>
        <b/>
        <sz val="11"/>
        <color theme="1"/>
        <rFont val="Aptos Narrow"/>
        <family val="2"/>
        <scheme val="minor"/>
      </rPr>
      <t>4.</t>
    </r>
    <r>
      <rPr>
        <sz val="11"/>
        <color theme="1"/>
        <rFont val="Aptos Narrow"/>
        <family val="2"/>
        <scheme val="minor"/>
      </rPr>
      <t xml:space="preserve"> Use the IF function to calculate a bonus amount. If sales met or exceeded the target, the bonus is 10% of the sales; otherwise, it's 5%. </t>
    </r>
  </si>
  <si>
    <r>
      <rPr>
        <b/>
        <sz val="11"/>
        <color theme="1"/>
        <rFont val="Aptos Narrow"/>
        <family val="2"/>
        <scheme val="minor"/>
      </rPr>
      <t xml:space="preserve">5. </t>
    </r>
    <r>
      <rPr>
        <sz val="11"/>
        <color theme="1"/>
        <rFont val="Aptos Narrow"/>
        <family val="2"/>
        <scheme val="minor"/>
      </rPr>
      <t xml:space="preserve">Use the IF function to categorize sales performance as "Excellent" (&gt;=200), "Good" (&gt;=150), or "Needs Improvement" (&lt;150). </t>
    </r>
  </si>
  <si>
    <r>
      <rPr>
        <b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 xml:space="preserve">. Use the IF function to assign a price tier based on the sales value. "High" for sales &gt; 200, "Medium" for sales between 100 and 200, and "Low" for sales &lt; 100. </t>
    </r>
  </si>
  <si>
    <r>
      <rPr>
        <b/>
        <sz val="11"/>
        <color theme="1"/>
        <rFont val="Aptos Narrow"/>
        <family val="2"/>
        <scheme val="minor"/>
      </rPr>
      <t>7.</t>
    </r>
    <r>
      <rPr>
        <sz val="11"/>
        <color theme="1"/>
        <rFont val="Aptos Narrow"/>
        <family val="2"/>
        <scheme val="minor"/>
      </rPr>
      <t xml:space="preserve"> Use the IF function to calculate the year-end bonus. If sales &gt;= 150 and region is "North", the bonus is $500, otherwise, it's $300. </t>
    </r>
  </si>
  <si>
    <r>
      <rPr>
        <b/>
        <sz val="11"/>
        <color theme="1"/>
        <rFont val="Aptos Narrow"/>
        <family val="2"/>
        <scheme val="minor"/>
      </rPr>
      <t xml:space="preserve">8. </t>
    </r>
    <r>
      <rPr>
        <sz val="11"/>
        <color theme="1"/>
        <rFont val="Aptos Narrow"/>
        <family val="2"/>
        <scheme val="minor"/>
      </rPr>
      <t xml:space="preserve">Use the IF function to mark high performers. A product is a high performer if its sales are in the top 25% of all sales. </t>
    </r>
  </si>
  <si>
    <t>Met Target</t>
  </si>
  <si>
    <t>Commission Rate</t>
  </si>
  <si>
    <t>Bonus Amount</t>
  </si>
  <si>
    <t>Performance</t>
  </si>
  <si>
    <t>Price Tier</t>
  </si>
  <si>
    <t>Stasus</t>
  </si>
  <si>
    <t>Year End Bonus</t>
  </si>
  <si>
    <t>Region Bonus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</si>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</sst>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3" borderId="1" xfId="0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0" fontId="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6611-9B4A-4728-A7B8-E5723AB2214B}">
  <dimension ref="A1:V9"/>
  <sheetViews>
    <sheetView tabSelected="1" workbookViewId="0">
      <selection activeCell="F9" sqref="F9"/>
    </sheetView>
  </sheetViews>
  <sheetFormatPr defaultRowHeight="15" x14ac:dyDescent="0.25"/>
  <cols>
    <col min="1" max="1" width="10" bestFit="1" customWidth="1"/>
    <col min="2" max="2" width="8.42578125" bestFit="1" customWidth="1"/>
    <col min="3" max="3" width="5.85546875" bestFit="1" customWidth="1"/>
    <col min="4" max="4" width="6.5703125" bestFit="1" customWidth="1"/>
    <col min="5" max="5" width="7.7109375" bestFit="1" customWidth="1"/>
    <col min="6" max="6" width="12.140625" bestFit="1" customWidth="1"/>
    <col min="7" max="7" width="13.42578125" bestFit="1" customWidth="1"/>
    <col min="8" max="8" width="17.28515625" bestFit="1" customWidth="1"/>
    <col min="9" max="9" width="14.140625" bestFit="1" customWidth="1"/>
    <col min="10" max="10" width="18.85546875" bestFit="1" customWidth="1"/>
    <col min="11" max="11" width="9.42578125" bestFit="1" customWidth="1"/>
    <col min="12" max="12" width="15" bestFit="1" customWidth="1"/>
    <col min="13" max="13" width="17.5703125" bestFit="1" customWidth="1"/>
    <col min="22" max="22" width="159.5703125" bestFit="1" customWidth="1"/>
  </cols>
  <sheetData>
    <row r="1" spans="1:22" x14ac:dyDescent="0.25">
      <c r="A1" s="6" t="s">
        <v>10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24</v>
      </c>
      <c r="G1" s="6" t="s">
        <v>31</v>
      </c>
      <c r="H1" s="7" t="s">
        <v>25</v>
      </c>
      <c r="I1" s="6" t="s">
        <v>26</v>
      </c>
      <c r="J1" s="6" t="s">
        <v>27</v>
      </c>
      <c r="K1" s="6" t="s">
        <v>28</v>
      </c>
      <c r="L1" s="6" t="s">
        <v>30</v>
      </c>
      <c r="M1" s="6" t="s">
        <v>29</v>
      </c>
    </row>
    <row r="2" spans="1:22" x14ac:dyDescent="0.25">
      <c r="A2" s="3">
        <v>101</v>
      </c>
      <c r="B2" s="3" t="s">
        <v>4</v>
      </c>
      <c r="C2" s="3">
        <v>120</v>
      </c>
      <c r="D2" s="3">
        <v>150</v>
      </c>
      <c r="E2" s="3" t="s">
        <v>11</v>
      </c>
      <c r="F2" s="3" t="str">
        <f>IF(C2&gt;=D2, "Met Target", "Did Not Meet")</f>
        <v>Did Not Meet</v>
      </c>
      <c r="G2" s="3" t="str">
        <f>IF(AND(E2="North", C2&gt;200), "Eligible", "Not Eligible")</f>
        <v>Not Eligible</v>
      </c>
      <c r="H2" s="4">
        <f>IF(C2&gt;=200,10%,IF(C2&gt;=150,7%,5%))</f>
        <v>0.05</v>
      </c>
      <c r="I2" s="5">
        <f>IF(C2&gt;=D2, C2*10%, C2*5%)</f>
        <v>6</v>
      </c>
      <c r="J2" s="3" t="str">
        <f>IF(C2&gt;=200, "Excellent", IF(C2&gt;=150, "Good", "Needs Improvement"))</f>
        <v>Needs Improvement</v>
      </c>
      <c r="K2" s="3" t="str">
        <f>IF(C2&gt;200, "High", IF(C2&gt;=100, "Medium","Low"))</f>
        <v>Medium</v>
      </c>
      <c r="L2" s="3">
        <f>IF(AND(C2&gt;=150, E2="North"),500,300)</f>
        <v>300</v>
      </c>
      <c r="M2" s="3" t="str">
        <f>IF(C2&gt;=_xlfn.PERCENTILE.INC($C$2:$C$7, 0.75), "HighPerformer", "Medium Performer")</f>
        <v>Medium Performer</v>
      </c>
      <c r="V2" s="1" t="s">
        <v>17</v>
      </c>
    </row>
    <row r="3" spans="1:22" x14ac:dyDescent="0.25">
      <c r="A3" s="3">
        <v>102</v>
      </c>
      <c r="B3" s="3" t="s">
        <v>5</v>
      </c>
      <c r="C3" s="3">
        <v>150</v>
      </c>
      <c r="D3" s="3">
        <v>140</v>
      </c>
      <c r="E3" s="3" t="s">
        <v>12</v>
      </c>
      <c r="F3" s="3" t="str">
        <f t="shared" ref="F3:F7" si="0">IF(C3&gt;=D3, "Met Target", "Did Not Meet")</f>
        <v>Met Target</v>
      </c>
      <c r="G3" s="3" t="str">
        <f t="shared" ref="G3:G7" si="1">IF(AND(E3="North", C3&gt;200), "Eligible", "Not Eligible")</f>
        <v>Not Eligible</v>
      </c>
      <c r="H3" s="4">
        <f t="shared" ref="H3:H7" si="2">IF(C3&gt;=200,10%,IF(C3&gt;=150,7%,5%))</f>
        <v>7.0000000000000007E-2</v>
      </c>
      <c r="I3" s="5">
        <f t="shared" ref="I3:I7" si="3">IF(C3&gt;=D3, C3*10%, C3*5%)</f>
        <v>15</v>
      </c>
      <c r="J3" s="3" t="str">
        <f t="shared" ref="J3:J7" si="4">IF(C3&gt;=200, "Excellent", IF(C3&gt;=150, "Good", "Needs Improvement"))</f>
        <v>Good</v>
      </c>
      <c r="K3" s="3" t="str">
        <f t="shared" ref="K3:K7" si="5">IF(C3&gt;200, "High", IF(C3&gt;=100, "Medium","Low"))</f>
        <v>Medium</v>
      </c>
      <c r="L3" s="3">
        <f t="shared" ref="L3:L7" si="6">IF(AND(C3&gt;=150, E3="North"), 500, 300)</f>
        <v>300</v>
      </c>
      <c r="M3" s="3" t="str">
        <f t="shared" ref="M3:M7" si="7">IF(C3&gt;=_xlfn.PERCENTILE.INC($C$2:$C$7, 0.75), "HighPerformer", "Medium Performer")</f>
        <v>Medium Performer</v>
      </c>
      <c r="V3" s="1" t="s">
        <v>18</v>
      </c>
    </row>
    <row r="4" spans="1:22" x14ac:dyDescent="0.25">
      <c r="A4" s="3">
        <v>103</v>
      </c>
      <c r="B4" s="3" t="s">
        <v>6</v>
      </c>
      <c r="C4" s="3">
        <v>200</v>
      </c>
      <c r="D4" s="3">
        <v>200</v>
      </c>
      <c r="E4" s="3" t="s">
        <v>13</v>
      </c>
      <c r="F4" s="3" t="str">
        <f t="shared" si="0"/>
        <v>Met Target</v>
      </c>
      <c r="G4" s="3" t="str">
        <f t="shared" si="1"/>
        <v>Not Eligible</v>
      </c>
      <c r="H4" s="4">
        <f t="shared" si="2"/>
        <v>0.1</v>
      </c>
      <c r="I4" s="5">
        <f t="shared" si="3"/>
        <v>20</v>
      </c>
      <c r="J4" s="3" t="str">
        <f t="shared" si="4"/>
        <v>Excellent</v>
      </c>
      <c r="K4" s="3" t="str">
        <f t="shared" si="5"/>
        <v>Medium</v>
      </c>
      <c r="L4" s="3">
        <f t="shared" si="6"/>
        <v>300</v>
      </c>
      <c r="M4" s="3" t="str">
        <f t="shared" si="7"/>
        <v>HighPerformer</v>
      </c>
      <c r="V4" s="1" t="s">
        <v>16</v>
      </c>
    </row>
    <row r="5" spans="1:22" x14ac:dyDescent="0.25">
      <c r="A5" s="3">
        <v>104</v>
      </c>
      <c r="B5" s="3" t="s">
        <v>7</v>
      </c>
      <c r="C5" s="3">
        <v>90</v>
      </c>
      <c r="D5" s="3">
        <v>100</v>
      </c>
      <c r="E5" s="3" t="s">
        <v>14</v>
      </c>
      <c r="F5" s="3" t="str">
        <f t="shared" si="0"/>
        <v>Did Not Meet</v>
      </c>
      <c r="G5" s="3" t="str">
        <f t="shared" si="1"/>
        <v>Not Eligible</v>
      </c>
      <c r="H5" s="4">
        <f t="shared" si="2"/>
        <v>0.05</v>
      </c>
      <c r="I5" s="5">
        <f t="shared" si="3"/>
        <v>4.5</v>
      </c>
      <c r="J5" s="3" t="str">
        <f t="shared" si="4"/>
        <v>Needs Improvement</v>
      </c>
      <c r="K5" s="3" t="str">
        <f t="shared" si="5"/>
        <v>Low</v>
      </c>
      <c r="L5" s="3">
        <f t="shared" si="6"/>
        <v>300</v>
      </c>
      <c r="M5" s="3" t="str">
        <f t="shared" si="7"/>
        <v>Medium Performer</v>
      </c>
      <c r="V5" s="1" t="s">
        <v>19</v>
      </c>
    </row>
    <row r="6" spans="1:22" x14ac:dyDescent="0.25">
      <c r="A6" s="3">
        <v>105</v>
      </c>
      <c r="B6" s="3" t="s">
        <v>8</v>
      </c>
      <c r="C6" s="3">
        <v>220</v>
      </c>
      <c r="D6" s="3">
        <v>210</v>
      </c>
      <c r="E6" s="3" t="s">
        <v>11</v>
      </c>
      <c r="F6" s="3" t="str">
        <f t="shared" si="0"/>
        <v>Met Target</v>
      </c>
      <c r="G6" s="3" t="str">
        <f t="shared" si="1"/>
        <v>Eligible</v>
      </c>
      <c r="H6" s="4">
        <f t="shared" si="2"/>
        <v>0.1</v>
      </c>
      <c r="I6" s="5">
        <f t="shared" si="3"/>
        <v>22</v>
      </c>
      <c r="J6" s="3" t="str">
        <f t="shared" si="4"/>
        <v>Excellent</v>
      </c>
      <c r="K6" s="3" t="str">
        <f t="shared" si="5"/>
        <v>High</v>
      </c>
      <c r="L6" s="3">
        <f t="shared" si="6"/>
        <v>500</v>
      </c>
      <c r="M6" s="3" t="str">
        <f t="shared" si="7"/>
        <v>HighPerformer</v>
      </c>
      <c r="V6" s="1" t="s">
        <v>20</v>
      </c>
    </row>
    <row r="7" spans="1:22" x14ac:dyDescent="0.25">
      <c r="A7" s="3">
        <v>106</v>
      </c>
      <c r="B7" s="3" t="s">
        <v>9</v>
      </c>
      <c r="C7" s="3">
        <v>130</v>
      </c>
      <c r="D7" s="3">
        <v>160</v>
      </c>
      <c r="E7" s="3" t="s">
        <v>15</v>
      </c>
      <c r="F7" s="3" t="str">
        <f t="shared" si="0"/>
        <v>Did Not Meet</v>
      </c>
      <c r="G7" s="3" t="str">
        <f t="shared" si="1"/>
        <v>Not Eligible</v>
      </c>
      <c r="H7" s="4">
        <f t="shared" si="2"/>
        <v>0.05</v>
      </c>
      <c r="I7" s="5">
        <f t="shared" si="3"/>
        <v>6.5</v>
      </c>
      <c r="J7" s="3" t="str">
        <f t="shared" si="4"/>
        <v>Needs Improvement</v>
      </c>
      <c r="K7" s="3" t="str">
        <f t="shared" si="5"/>
        <v>Medium</v>
      </c>
      <c r="L7" s="3">
        <f t="shared" si="6"/>
        <v>300</v>
      </c>
      <c r="M7" s="3" t="str">
        <f t="shared" si="7"/>
        <v>Medium Performer</v>
      </c>
      <c r="V7" s="1" t="s">
        <v>21</v>
      </c>
    </row>
    <row r="8" spans="1:22" x14ac:dyDescent="0.25">
      <c r="V8" s="1" t="s">
        <v>22</v>
      </c>
    </row>
    <row r="9" spans="1:22" x14ac:dyDescent="0.25">
      <c r="F9" t="s">
        <v>32</v>
      </c>
      <c r="V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IF-Function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Prabin Mondal</dc:creator>
  <cp:lastModifiedBy>Prabin Mondal</cp:lastModifiedBy>
  <dcterms:created xsi:type="dcterms:W3CDTF">2026-08-03T08:53:55Z</dcterms:created>
  <dcterms:modified xsi:type="dcterms:W3CDTF">2026-08-03T12:10:47Z</dcterms:modified>
</cp:coreProperties>
</file>