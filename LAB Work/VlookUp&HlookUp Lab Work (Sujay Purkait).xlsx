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13_ncr:1_{19A89EA9-D1F8-436C-BEC5-9B3BB754D30F}" xr6:coauthVersionLast="47" xr6:coauthVersionMax="47" xr10:uidLastSave="{00000000-0000-0000-0000-000000000000}"/>
  <bookViews>
    <workbookView xWindow="-120" yWindow="-120" windowWidth="20730" windowHeight="11040" activeTab="2" xr2:uid="{7F3A34FE-CA5A-435E-B997-07B3B938C6BC}"/>
  </bookViews>
  <sheets>
    <sheet name="VlookUP-Product" sheetId="1" r:id="rId1"/>
    <sheet name="VlookUp-Oders" sheetId="2" r:id="rId2"/>
    <sheet name="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5" i="3" l="1"/>
  <c r="B32" i="3"/>
  <c r="B29" i="3"/>
  <c r="C26" i="3"/>
  <c r="B26" i="3"/>
  <c r="C25" i="3"/>
  <c r="B25" i="3"/>
  <c r="C24" i="3"/>
  <c r="B24" i="3"/>
  <c r="C23" i="3"/>
  <c r="B23" i="3"/>
  <c r="C22" i="3"/>
  <c r="B22" i="3"/>
  <c r="C21" i="3"/>
  <c r="B21" i="3"/>
  <c r="H8" i="3"/>
  <c r="F8" i="3"/>
  <c r="E8" i="3"/>
  <c r="D8" i="3"/>
  <c r="C8" i="3"/>
  <c r="B8" i="3"/>
  <c r="J8" i="3" s="1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G8" i="3" s="1"/>
  <c r="J2" i="3"/>
  <c r="I2" i="3"/>
  <c r="H2" i="3"/>
  <c r="G2" i="3"/>
  <c r="G14" i="3"/>
  <c r="B15" i="3"/>
  <c r="B11" i="3"/>
  <c r="G3" i="2"/>
  <c r="G4" i="2"/>
  <c r="G5" i="2"/>
  <c r="G6" i="2"/>
  <c r="G7" i="2"/>
  <c r="E3" i="2"/>
  <c r="E4" i="2"/>
  <c r="E5" i="2"/>
  <c r="E6" i="2"/>
  <c r="E7" i="2"/>
  <c r="H7" i="2" s="1"/>
  <c r="E2" i="2"/>
  <c r="H2" i="2" s="1"/>
  <c r="D3" i="2"/>
  <c r="D4" i="2"/>
  <c r="D5" i="2"/>
  <c r="D6" i="2"/>
  <c r="D7" i="2"/>
  <c r="D2" i="2"/>
  <c r="D3" i="1"/>
  <c r="D4" i="1"/>
  <c r="D5" i="1"/>
  <c r="D6" i="1"/>
  <c r="D7" i="1"/>
  <c r="D2" i="1"/>
  <c r="G2" i="2"/>
  <c r="H3" i="2"/>
  <c r="H4" i="2"/>
  <c r="F5" i="2"/>
  <c r="H6" i="2"/>
  <c r="I8" i="3" l="1"/>
  <c r="F2" i="2"/>
  <c r="F6" i="2"/>
  <c r="F7" i="2"/>
  <c r="H5" i="2"/>
  <c r="F4" i="2"/>
  <c r="F3" i="2"/>
  <c r="K2" i="2" s="1"/>
</calcChain>
</file>

<file path=xl/sharedStrings.xml><?xml version="1.0" encoding="utf-8"?>
<sst xmlns="http://schemas.openxmlformats.org/spreadsheetml/2006/main" count="83" uniqueCount="48">
  <si>
    <t>ProductID</t>
  </si>
  <si>
    <t>Product</t>
  </si>
  <si>
    <t>Price</t>
  </si>
  <si>
    <t>OderId</t>
  </si>
  <si>
    <t>Quantity</t>
  </si>
  <si>
    <t>Product A</t>
  </si>
  <si>
    <t>Product B</t>
  </si>
  <si>
    <t>Product C</t>
  </si>
  <si>
    <t>Product D</t>
  </si>
  <si>
    <t>Product E</t>
  </si>
  <si>
    <t>Product Present/Not</t>
  </si>
  <si>
    <t>Discount price</t>
  </si>
  <si>
    <t>Totalprice</t>
  </si>
  <si>
    <t>Oder Stasus</t>
  </si>
  <si>
    <t>Jan</t>
  </si>
  <si>
    <t>Mar</t>
  </si>
  <si>
    <t>Apr</t>
  </si>
  <si>
    <t>May</t>
  </si>
  <si>
    <t>Product F</t>
  </si>
  <si>
    <t>Maximum Order Value</t>
  </si>
  <si>
    <t xml:space="preserve">1. Use VLOOKUP to find the product names for each ProductID in the Orders worksheet. </t>
  </si>
  <si>
    <t>2. Use VLOOKUP to find the price for each ProductID in the Orders worksheet, then calculate the TotalPrice by multiplying the Quantity by the Product Price.</t>
  </si>
  <si>
    <t xml:space="preserve">3.Use VLOOKUP to check if there are any ProductIDs in the Orders worksheet that do not exist in the Products worksheet. </t>
  </si>
  <si>
    <t>4.Assume a discount of 10% is given on all products. Use VLOOKUP to find the original price and then calculate the discounted price.</t>
  </si>
  <si>
    <t xml:space="preserve">5. Use VLOOKUP to find the price for each ProductID and then calculate the order value. Find the maximum order value from the list. </t>
  </si>
  <si>
    <t xml:space="preserve">6. Use VLOOKUP to find out which products from the Products worksheet have not been ordered. </t>
  </si>
  <si>
    <t xml:space="preserve">7. Use VLOOKUP to find the Product name and summarize the total quantity sold for each product. </t>
  </si>
  <si>
    <t xml:space="preserve">1. Use HLOOKUP to find the sales for Product A in March. </t>
  </si>
  <si>
    <t xml:space="preserve">2. Use HLOOKUP to find the sales for Product D in May. </t>
  </si>
  <si>
    <t xml:space="preserve">3. Use HLOOKUP to find the sales for Product C in February. </t>
  </si>
  <si>
    <t xml:space="preserve">4. Use HLOOKUP to find the sales for each month for a product, then calculate the total sales for that product. </t>
  </si>
  <si>
    <t xml:space="preserve">5. Use HLOOKUP to find the maximum sales value for Product B across all months. </t>
  </si>
  <si>
    <t xml:space="preserve">6. Use HLOOKUP to find the minimum sales value for Product F across all months. </t>
  </si>
  <si>
    <t xml:space="preserve">Product </t>
  </si>
  <si>
    <t>2.Ans</t>
  </si>
  <si>
    <t>3.Ans</t>
  </si>
  <si>
    <t>Feb</t>
  </si>
  <si>
    <t>Total Sales</t>
  </si>
  <si>
    <t>Average</t>
  </si>
  <si>
    <t>Max</t>
  </si>
  <si>
    <t>Min</t>
  </si>
  <si>
    <t>Monthly Total</t>
  </si>
  <si>
    <t>4.Ans</t>
  </si>
  <si>
    <t xml:space="preserve">Product Name </t>
  </si>
  <si>
    <t>5.Ans</t>
  </si>
  <si>
    <t>6.Ans</t>
  </si>
  <si>
    <t>1.Ans</t>
  </si>
  <si>
    <t>7.Ans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</si>
</sst>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8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F2F7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9E1F2"/>
      </patternFill>
    </fill>
    <fill>
      <patternFill patternType="solid">
        <fgColor theme="8" tint="-0.499984740745262"/>
        <bgColor rgb="FF1F4E7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3" fillId="4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3" fontId="0" fillId="0" borderId="0" xfId="1" applyFont="1" applyBorder="1" applyAlignment="1">
      <alignment horizontal="center"/>
    </xf>
    <xf numFmtId="0" fontId="2" fillId="13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3" fontId="0" fillId="13" borderId="4" xfId="0" applyNumberFormat="1" applyFill="1" applyBorder="1" applyAlignment="1">
      <alignment horizontal="center"/>
    </xf>
    <xf numFmtId="0" fontId="0" fillId="14" borderId="0" xfId="0" applyFill="1" applyAlignment="1">
      <alignment horizontal="center"/>
    </xf>
    <xf numFmtId="3" fontId="0" fillId="14" borderId="4" xfId="0" applyNumberForma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/>
    </xf>
    <xf numFmtId="3" fontId="5" fillId="15" borderId="1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/>
    </xf>
    <xf numFmtId="43" fontId="10" fillId="12" borderId="1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EA0A-71DD-485D-B42B-30CF7376F077}">
  <dimension ref="A1:D7"/>
  <sheetViews>
    <sheetView workbookViewId="0">
      <selection activeCell="E22" sqref="E22"/>
    </sheetView>
  </sheetViews>
  <sheetFormatPr defaultRowHeight="15" x14ac:dyDescent="0.25"/>
  <cols>
    <col min="1" max="1" width="10" bestFit="1" customWidth="1"/>
    <col min="2" max="2" width="9.5703125" bestFit="1" customWidth="1"/>
    <col min="3" max="3" width="5.5703125" bestFit="1" customWidth="1"/>
    <col min="4" max="4" width="11.8554687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13</v>
      </c>
    </row>
    <row r="2" spans="1:4" x14ac:dyDescent="0.25">
      <c r="A2" s="2">
        <v>101</v>
      </c>
      <c r="B2" s="2" t="s">
        <v>5</v>
      </c>
      <c r="C2" s="2">
        <v>120</v>
      </c>
      <c r="D2" s="2" t="str">
        <f>IF(ISNA(VLOOKUP(A2,'VlookUp-Oders'!$B$1:$B$7,1,0)),"Not","Oder")</f>
        <v>Oder</v>
      </c>
    </row>
    <row r="3" spans="1:4" x14ac:dyDescent="0.25">
      <c r="A3" s="2">
        <v>102</v>
      </c>
      <c r="B3" s="2" t="s">
        <v>6</v>
      </c>
      <c r="C3" s="2">
        <v>150</v>
      </c>
      <c r="D3" s="2" t="str">
        <f>IF(ISNA(VLOOKUP(A3,'VlookUp-Oders'!$B$1:$B$7,1,0)),"Not","Oder")</f>
        <v>Oder</v>
      </c>
    </row>
    <row r="4" spans="1:4" x14ac:dyDescent="0.25">
      <c r="A4" s="2">
        <v>103</v>
      </c>
      <c r="B4" s="2" t="s">
        <v>7</v>
      </c>
      <c r="C4" s="2">
        <v>200</v>
      </c>
      <c r="D4" s="2" t="str">
        <f>IF(ISNA(VLOOKUP(A4,'VlookUp-Oders'!$B$1:$B$7,1,0)),"Not","Oder")</f>
        <v>Oder</v>
      </c>
    </row>
    <row r="5" spans="1:4" x14ac:dyDescent="0.25">
      <c r="A5" s="2">
        <v>104</v>
      </c>
      <c r="B5" s="2" t="s">
        <v>8</v>
      </c>
      <c r="C5" s="2">
        <v>90</v>
      </c>
      <c r="D5" s="2" t="str">
        <f>IF(ISNA(VLOOKUP(A5,'VlookUp-Oders'!$B$1:$B$7,1,0)),"Not","Oder")</f>
        <v>Oder</v>
      </c>
    </row>
    <row r="6" spans="1:4" x14ac:dyDescent="0.25">
      <c r="A6" s="2">
        <v>105</v>
      </c>
      <c r="B6" s="2" t="s">
        <v>9</v>
      </c>
      <c r="C6" s="2">
        <v>220</v>
      </c>
      <c r="D6" s="2" t="str">
        <f>IF(ISNA(VLOOKUP(A6,'VlookUp-Oders'!$B$1:$B$7,1,0)),"Not","Oder")</f>
        <v>Oder</v>
      </c>
    </row>
    <row r="7" spans="1:4" x14ac:dyDescent="0.25">
      <c r="A7" s="2">
        <v>106</v>
      </c>
      <c r="B7" s="2" t="s">
        <v>18</v>
      </c>
      <c r="C7" s="2">
        <v>130</v>
      </c>
      <c r="D7" s="2" t="str">
        <f>IF(ISNA(VLOOKUP(A7,'VlookUp-Oders'!$B$1:$B$7,1,0)),"Not","Oder")</f>
        <v>Oder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CEB9-D647-4596-8D5B-051476165980}">
  <dimension ref="A1:O7"/>
  <sheetViews>
    <sheetView workbookViewId="0">
      <selection activeCell="G2" sqref="G2"/>
    </sheetView>
  </sheetViews>
  <sheetFormatPr defaultRowHeight="15" x14ac:dyDescent="0.25"/>
  <cols>
    <col min="1" max="1" width="7.140625" bestFit="1" customWidth="1"/>
    <col min="2" max="2" width="10" bestFit="1" customWidth="1"/>
    <col min="3" max="3" width="8.7109375" bestFit="1" customWidth="1"/>
    <col min="4" max="4" width="9.5703125" bestFit="1" customWidth="1"/>
    <col min="5" max="5" width="5.5703125" bestFit="1" customWidth="1"/>
    <col min="6" max="6" width="10" customWidth="1"/>
    <col min="7" max="7" width="19.7109375" bestFit="1" customWidth="1"/>
    <col min="8" max="8" width="14.28515625" bestFit="1" customWidth="1"/>
    <col min="10" max="10" width="20" bestFit="1" customWidth="1"/>
    <col min="11" max="11" width="5.28515625" bestFit="1" customWidth="1"/>
    <col min="15" max="15" width="139.28515625" bestFit="1" customWidth="1"/>
  </cols>
  <sheetData>
    <row r="1" spans="1:15" x14ac:dyDescent="0.25">
      <c r="A1" s="3" t="s">
        <v>3</v>
      </c>
      <c r="B1" s="3" t="s">
        <v>0</v>
      </c>
      <c r="C1" s="3" t="s">
        <v>4</v>
      </c>
      <c r="D1" s="3" t="s">
        <v>1</v>
      </c>
      <c r="E1" s="3" t="s">
        <v>2</v>
      </c>
      <c r="F1" s="3" t="s">
        <v>12</v>
      </c>
      <c r="G1" s="3" t="s">
        <v>10</v>
      </c>
      <c r="H1" s="3" t="s">
        <v>11</v>
      </c>
      <c r="O1" s="5" t="s">
        <v>20</v>
      </c>
    </row>
    <row r="2" spans="1:15" x14ac:dyDescent="0.25">
      <c r="A2" s="2">
        <v>1</v>
      </c>
      <c r="B2" s="2">
        <v>101</v>
      </c>
      <c r="C2" s="2">
        <v>2</v>
      </c>
      <c r="D2" s="2" t="str">
        <f>VLOOKUP(B2,'VlookUP-Product'!$A$2:$B$7,2,0)</f>
        <v>Product A</v>
      </c>
      <c r="E2" s="2">
        <f>VLOOKUP(B2,'VlookUP-Product'!$A$1:$C$7,3,0)</f>
        <v>120</v>
      </c>
      <c r="F2" s="2">
        <f>C2*E2</f>
        <v>240</v>
      </c>
      <c r="G2" s="2" t="str">
        <f>IF(ISNA(VLOOKUP(B2,'VlookUP-Product'!A2:C7,1,0)),"Present","Not")</f>
        <v>Not</v>
      </c>
      <c r="H2" s="2">
        <f>E2-E2*10%</f>
        <v>108</v>
      </c>
      <c r="J2" s="4" t="s">
        <v>19</v>
      </c>
      <c r="K2" s="1">
        <f>MAX(F2:F7)</f>
        <v>880</v>
      </c>
      <c r="O2" s="5" t="s">
        <v>21</v>
      </c>
    </row>
    <row r="3" spans="1:15" x14ac:dyDescent="0.25">
      <c r="A3" s="2">
        <v>2</v>
      </c>
      <c r="B3" s="2">
        <v>103</v>
      </c>
      <c r="C3" s="2">
        <v>1</v>
      </c>
      <c r="D3" s="2" t="str">
        <f>VLOOKUP(B3,'VlookUP-Product'!$A$2:$B$7,2,0)</f>
        <v>Product C</v>
      </c>
      <c r="E3" s="2">
        <f>VLOOKUP(B3,'VlookUP-Product'!$A$1:$C$7,3,0)</f>
        <v>200</v>
      </c>
      <c r="F3" s="2">
        <f>C3*E3</f>
        <v>200</v>
      </c>
      <c r="G3" s="2" t="str">
        <f>IF(ISNA(VLOOKUP(B3,'VlookUP-Product'!A3:C8,1,0)),"Present","Not")</f>
        <v>Not</v>
      </c>
      <c r="H3" s="2">
        <f t="shared" ref="H3:H7" si="0">E3-E3*10%</f>
        <v>180</v>
      </c>
      <c r="O3" s="5" t="s">
        <v>22</v>
      </c>
    </row>
    <row r="4" spans="1:15" x14ac:dyDescent="0.25">
      <c r="A4" s="2">
        <v>3</v>
      </c>
      <c r="B4" s="2">
        <v>105</v>
      </c>
      <c r="C4" s="2">
        <v>4</v>
      </c>
      <c r="D4" s="2" t="str">
        <f>VLOOKUP(B4,'VlookUP-Product'!$A$2:$B$7,2,0)</f>
        <v>Product E</v>
      </c>
      <c r="E4" s="2">
        <f>VLOOKUP(B4,'VlookUP-Product'!$A$1:$C$7,3,0)</f>
        <v>220</v>
      </c>
      <c r="F4" s="2">
        <f t="shared" ref="F4:F7" si="1">C4*E4</f>
        <v>880</v>
      </c>
      <c r="G4" s="2" t="str">
        <f>IF(ISNA(VLOOKUP(B4,'VlookUP-Product'!A4:C9,1,0)),"Present","Not")</f>
        <v>Not</v>
      </c>
      <c r="H4" s="2">
        <f t="shared" si="0"/>
        <v>198</v>
      </c>
      <c r="O4" s="5" t="s">
        <v>23</v>
      </c>
    </row>
    <row r="5" spans="1:15" x14ac:dyDescent="0.25">
      <c r="A5" s="2">
        <v>4</v>
      </c>
      <c r="B5" s="2">
        <v>106</v>
      </c>
      <c r="C5" s="2">
        <v>3</v>
      </c>
      <c r="D5" s="2" t="str">
        <f>VLOOKUP(B5,'VlookUP-Product'!$A$2:$B$7,2,0)</f>
        <v>Product F</v>
      </c>
      <c r="E5" s="2">
        <f>VLOOKUP(B5,'VlookUP-Product'!$A$1:$C$7,3,0)</f>
        <v>130</v>
      </c>
      <c r="F5" s="2">
        <f t="shared" si="1"/>
        <v>390</v>
      </c>
      <c r="G5" s="2" t="str">
        <f>IF(ISNA(VLOOKUP(B5,'VlookUP-Product'!A5:C10,1,0)),"Present","Not")</f>
        <v>Not</v>
      </c>
      <c r="H5" s="2">
        <f t="shared" si="0"/>
        <v>117</v>
      </c>
      <c r="O5" s="5" t="s">
        <v>24</v>
      </c>
    </row>
    <row r="6" spans="1:15" x14ac:dyDescent="0.25">
      <c r="A6" s="2">
        <v>5</v>
      </c>
      <c r="B6" s="2">
        <v>102</v>
      </c>
      <c r="C6" s="2">
        <v>5</v>
      </c>
      <c r="D6" s="2" t="str">
        <f>VLOOKUP(B6,'VlookUP-Product'!$A$2:$B$7,2,0)</f>
        <v>Product B</v>
      </c>
      <c r="E6" s="2">
        <f>VLOOKUP(B6,'VlookUP-Product'!$A$1:$C$7,3,0)</f>
        <v>150</v>
      </c>
      <c r="F6" s="2">
        <f t="shared" si="1"/>
        <v>750</v>
      </c>
      <c r="G6" s="2" t="str">
        <f>IF(ISNA(VLOOKUP(B6,'VlookUP-Product'!A6:C11,1,0)),"Present","Not")</f>
        <v>Present</v>
      </c>
      <c r="H6" s="2">
        <f t="shared" si="0"/>
        <v>135</v>
      </c>
      <c r="O6" s="5" t="s">
        <v>25</v>
      </c>
    </row>
    <row r="7" spans="1:15" x14ac:dyDescent="0.25">
      <c r="A7" s="2">
        <v>6</v>
      </c>
      <c r="B7" s="2">
        <v>104</v>
      </c>
      <c r="C7" s="2">
        <v>6</v>
      </c>
      <c r="D7" s="2" t="str">
        <f>VLOOKUP(B7,'VlookUP-Product'!$A$2:$B$7,2,0)</f>
        <v>Product D</v>
      </c>
      <c r="E7" s="2">
        <f>VLOOKUP(B7,'VlookUP-Product'!$A$1:$C$7,3,0)</f>
        <v>90</v>
      </c>
      <c r="F7" s="2">
        <f t="shared" si="1"/>
        <v>540</v>
      </c>
      <c r="G7" s="2" t="str">
        <f>IF(ISNA(VLOOKUP(B7,'VlookUP-Product'!A7:C12,1,0)),"Present","Not")</f>
        <v>Present</v>
      </c>
      <c r="H7" s="2">
        <f t="shared" si="0"/>
        <v>81</v>
      </c>
      <c r="O7" s="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D2DB-D531-4421-8698-74A0DDAA88D9}">
  <dimension ref="A1:O35"/>
  <sheetViews>
    <sheetView tabSelected="1" topLeftCell="A7" workbookViewId="0">
      <selection activeCell="H24" sqref="H24"/>
    </sheetView>
  </sheetViews>
  <sheetFormatPr defaultRowHeight="15" x14ac:dyDescent="0.25"/>
  <cols>
    <col min="1" max="1" width="14.7109375" style="19" bestFit="1" customWidth="1"/>
    <col min="2" max="2" width="8.140625" style="19" bestFit="1" customWidth="1"/>
    <col min="3" max="3" width="10.7109375" style="19" bestFit="1" customWidth="1"/>
    <col min="4" max="5" width="5.5703125" style="19" bestFit="1" customWidth="1"/>
    <col min="6" max="6" width="9.5703125" style="19" bestFit="1" customWidth="1"/>
    <col min="7" max="7" width="10.42578125" style="19" bestFit="1" customWidth="1"/>
    <col min="8" max="8" width="10.7109375" style="19" bestFit="1" customWidth="1"/>
    <col min="9" max="10" width="5.5703125" style="19" bestFit="1" customWidth="1"/>
    <col min="11" max="14" width="9.140625" style="19"/>
    <col min="15" max="15" width="99.140625" style="19" bestFit="1" customWidth="1"/>
    <col min="16" max="16384" width="9.140625" style="19"/>
  </cols>
  <sheetData>
    <row r="1" spans="1:15" x14ac:dyDescent="0.25">
      <c r="A1" s="15" t="s">
        <v>1</v>
      </c>
      <c r="B1" s="15" t="s">
        <v>14</v>
      </c>
      <c r="C1" s="15" t="s">
        <v>36</v>
      </c>
      <c r="D1" s="15" t="s">
        <v>15</v>
      </c>
      <c r="E1" s="15" t="s">
        <v>16</v>
      </c>
      <c r="F1" s="15" t="s">
        <v>17</v>
      </c>
      <c r="G1" s="15" t="s">
        <v>37</v>
      </c>
      <c r="H1" s="15" t="s">
        <v>38</v>
      </c>
      <c r="I1" s="15" t="s">
        <v>39</v>
      </c>
      <c r="J1" s="15" t="s">
        <v>40</v>
      </c>
      <c r="O1" s="20" t="s">
        <v>27</v>
      </c>
    </row>
    <row r="2" spans="1:15" x14ac:dyDescent="0.25">
      <c r="A2" s="8" t="s">
        <v>5</v>
      </c>
      <c r="B2" s="9">
        <v>120</v>
      </c>
      <c r="C2" s="9">
        <v>130</v>
      </c>
      <c r="D2" s="9">
        <v>140</v>
      </c>
      <c r="E2" s="9">
        <v>150</v>
      </c>
      <c r="F2" s="9">
        <v>160</v>
      </c>
      <c r="G2" s="9">
        <f t="shared" ref="G2:G7" si="0">SUM(B2:F2)</f>
        <v>700</v>
      </c>
      <c r="H2" s="9">
        <f t="shared" ref="H2:H7" si="1">AVERAGE(B2:F2)</f>
        <v>140</v>
      </c>
      <c r="I2" s="9">
        <f>MAX(B2:F2)</f>
        <v>160</v>
      </c>
      <c r="J2" s="9">
        <f>MIN(B2:F2)</f>
        <v>120</v>
      </c>
      <c r="O2" s="20" t="s">
        <v>28</v>
      </c>
    </row>
    <row r="3" spans="1:15" x14ac:dyDescent="0.25">
      <c r="A3" s="10" t="s">
        <v>6</v>
      </c>
      <c r="B3" s="11">
        <v>150</v>
      </c>
      <c r="C3" s="11">
        <v>160</v>
      </c>
      <c r="D3" s="11">
        <v>170</v>
      </c>
      <c r="E3" s="11">
        <v>180</v>
      </c>
      <c r="F3" s="11">
        <v>190</v>
      </c>
      <c r="G3" s="11">
        <f t="shared" si="0"/>
        <v>850</v>
      </c>
      <c r="H3" s="11">
        <f t="shared" si="1"/>
        <v>170</v>
      </c>
      <c r="I3" s="11">
        <f t="shared" ref="I3:I8" si="2">MAX(B3:F3)</f>
        <v>190</v>
      </c>
      <c r="J3" s="11">
        <f t="shared" ref="J3:J8" si="3">MIN(B3:F3)</f>
        <v>150</v>
      </c>
      <c r="O3" s="20" t="s">
        <v>29</v>
      </c>
    </row>
    <row r="4" spans="1:15" x14ac:dyDescent="0.25">
      <c r="A4" s="8" t="s">
        <v>7</v>
      </c>
      <c r="B4" s="9">
        <v>200</v>
      </c>
      <c r="C4" s="9">
        <v>210</v>
      </c>
      <c r="D4" s="9">
        <v>220</v>
      </c>
      <c r="E4" s="9">
        <v>230</v>
      </c>
      <c r="F4" s="9">
        <v>240</v>
      </c>
      <c r="G4" s="9">
        <f t="shared" si="0"/>
        <v>1100</v>
      </c>
      <c r="H4" s="9">
        <f t="shared" si="1"/>
        <v>220</v>
      </c>
      <c r="I4" s="9">
        <f t="shared" si="2"/>
        <v>240</v>
      </c>
      <c r="J4" s="9">
        <f t="shared" si="3"/>
        <v>200</v>
      </c>
      <c r="O4" s="20" t="s">
        <v>30</v>
      </c>
    </row>
    <row r="5" spans="1:15" x14ac:dyDescent="0.25">
      <c r="A5" s="10" t="s">
        <v>8</v>
      </c>
      <c r="B5" s="11">
        <v>90</v>
      </c>
      <c r="C5" s="11">
        <v>100</v>
      </c>
      <c r="D5" s="11">
        <v>110</v>
      </c>
      <c r="E5" s="11">
        <v>120</v>
      </c>
      <c r="F5" s="11">
        <v>130</v>
      </c>
      <c r="G5" s="11">
        <f t="shared" si="0"/>
        <v>550</v>
      </c>
      <c r="H5" s="11">
        <f t="shared" si="1"/>
        <v>110</v>
      </c>
      <c r="I5" s="11">
        <f t="shared" si="2"/>
        <v>130</v>
      </c>
      <c r="J5" s="11">
        <f t="shared" si="3"/>
        <v>90</v>
      </c>
      <c r="O5" s="20" t="s">
        <v>31</v>
      </c>
    </row>
    <row r="6" spans="1:15" x14ac:dyDescent="0.25">
      <c r="A6" s="8" t="s">
        <v>9</v>
      </c>
      <c r="B6" s="9">
        <v>220</v>
      </c>
      <c r="C6" s="9">
        <v>230</v>
      </c>
      <c r="D6" s="9">
        <v>240</v>
      </c>
      <c r="E6" s="9">
        <v>250</v>
      </c>
      <c r="F6" s="9">
        <v>260</v>
      </c>
      <c r="G6" s="9">
        <f t="shared" si="0"/>
        <v>1200</v>
      </c>
      <c r="H6" s="9">
        <f t="shared" si="1"/>
        <v>240</v>
      </c>
      <c r="I6" s="9">
        <f t="shared" si="2"/>
        <v>260</v>
      </c>
      <c r="J6" s="9">
        <f t="shared" si="3"/>
        <v>220</v>
      </c>
      <c r="K6" s="21"/>
      <c r="L6" s="21"/>
      <c r="O6" s="20" t="s">
        <v>32</v>
      </c>
    </row>
    <row r="7" spans="1:15" x14ac:dyDescent="0.25">
      <c r="A7" s="10" t="s">
        <v>18</v>
      </c>
      <c r="B7" s="11">
        <v>130</v>
      </c>
      <c r="C7" s="11">
        <v>140</v>
      </c>
      <c r="D7" s="11">
        <v>150</v>
      </c>
      <c r="E7" s="11">
        <v>160</v>
      </c>
      <c r="F7" s="11">
        <v>170</v>
      </c>
      <c r="G7" s="11">
        <f t="shared" si="0"/>
        <v>750</v>
      </c>
      <c r="H7" s="11">
        <f t="shared" si="1"/>
        <v>150</v>
      </c>
      <c r="I7" s="11">
        <f t="shared" si="2"/>
        <v>170</v>
      </c>
      <c r="J7" s="11">
        <f t="shared" si="3"/>
        <v>130</v>
      </c>
    </row>
    <row r="8" spans="1:15" x14ac:dyDescent="0.25">
      <c r="A8" s="12" t="s">
        <v>41</v>
      </c>
      <c r="B8" s="13">
        <f t="shared" ref="B8:G8" si="4">SUM(B2:B7)</f>
        <v>910</v>
      </c>
      <c r="C8" s="13">
        <f t="shared" si="4"/>
        <v>970</v>
      </c>
      <c r="D8" s="13">
        <f t="shared" si="4"/>
        <v>1030</v>
      </c>
      <c r="E8" s="13">
        <f t="shared" si="4"/>
        <v>1090</v>
      </c>
      <c r="F8" s="13">
        <f t="shared" si="4"/>
        <v>1150</v>
      </c>
      <c r="G8" s="13">
        <f t="shared" si="4"/>
        <v>5150</v>
      </c>
      <c r="H8" s="14">
        <f>AVERAGE(B2:F7)</f>
        <v>171.66666666666666</v>
      </c>
      <c r="I8" s="13">
        <f t="shared" si="2"/>
        <v>1150</v>
      </c>
      <c r="J8" s="14">
        <f t="shared" si="3"/>
        <v>910</v>
      </c>
    </row>
    <row r="9" spans="1:15" x14ac:dyDescent="0.25">
      <c r="A9" s="21" t="s">
        <v>46</v>
      </c>
    </row>
    <row r="10" spans="1:15" x14ac:dyDescent="0.25">
      <c r="A10" s="22" t="s">
        <v>33</v>
      </c>
      <c r="B10" s="22" t="s">
        <v>15</v>
      </c>
      <c r="H10" s="41"/>
      <c r="I10" s="41"/>
    </row>
    <row r="11" spans="1:15" x14ac:dyDescent="0.25">
      <c r="A11" s="23" t="s">
        <v>5</v>
      </c>
      <c r="B11" s="23">
        <f>HLOOKUP("Mar",$A$1:$F$7,2,FALSE)</f>
        <v>140</v>
      </c>
      <c r="H11" s="6"/>
      <c r="I11" s="6"/>
      <c r="J11" s="21"/>
      <c r="K11" s="21"/>
      <c r="L11" s="21"/>
      <c r="M11" s="21"/>
      <c r="N11" s="21"/>
    </row>
    <row r="12" spans="1:15" x14ac:dyDescent="0.25">
      <c r="F12" s="21" t="s">
        <v>35</v>
      </c>
      <c r="I12" s="7"/>
    </row>
    <row r="13" spans="1:15" x14ac:dyDescent="0.25">
      <c r="A13" s="24" t="s">
        <v>34</v>
      </c>
      <c r="B13" s="25"/>
      <c r="F13" s="26" t="s">
        <v>1</v>
      </c>
      <c r="G13" s="26" t="s">
        <v>36</v>
      </c>
      <c r="H13" s="41"/>
      <c r="I13" s="41"/>
    </row>
    <row r="14" spans="1:15" x14ac:dyDescent="0.25">
      <c r="A14" s="27" t="s">
        <v>1</v>
      </c>
      <c r="B14" s="27" t="s">
        <v>17</v>
      </c>
      <c r="F14" s="28" t="s">
        <v>7</v>
      </c>
      <c r="G14" s="28">
        <f>HLOOKUP("Feb",$A$1:$F$7,3,FALSE)</f>
        <v>160</v>
      </c>
      <c r="H14" s="6"/>
      <c r="I14" s="6"/>
    </row>
    <row r="15" spans="1:15" x14ac:dyDescent="0.25">
      <c r="A15" s="29" t="s">
        <v>8</v>
      </c>
      <c r="B15" s="29">
        <f>HLOOKUP("May",$A$1:$F$7,5,FALSE)</f>
        <v>130</v>
      </c>
      <c r="I15" s="7"/>
    </row>
    <row r="16" spans="1:15" x14ac:dyDescent="0.25">
      <c r="H16" s="41"/>
      <c r="I16" s="41"/>
    </row>
    <row r="17" spans="1:9" x14ac:dyDescent="0.25">
      <c r="H17" s="6"/>
      <c r="I17" s="6"/>
    </row>
    <row r="18" spans="1:9" x14ac:dyDescent="0.25">
      <c r="I18" s="7"/>
    </row>
    <row r="19" spans="1:9" x14ac:dyDescent="0.25">
      <c r="A19" s="21" t="s">
        <v>42</v>
      </c>
    </row>
    <row r="20" spans="1:9" x14ac:dyDescent="0.25">
      <c r="A20" s="37" t="s">
        <v>1</v>
      </c>
      <c r="B20" s="37" t="s">
        <v>14</v>
      </c>
      <c r="C20" s="37" t="s">
        <v>37</v>
      </c>
      <c r="F20" s="6"/>
      <c r="G20" s="6"/>
      <c r="H20" s="6"/>
    </row>
    <row r="21" spans="1:9" x14ac:dyDescent="0.25">
      <c r="A21" s="38" t="s">
        <v>5</v>
      </c>
      <c r="B21" s="39">
        <f>HLOOKUP($B$20,$A$1:$H$8,2,0)</f>
        <v>120</v>
      </c>
      <c r="C21" s="40">
        <f>HLOOKUP($C$20,$A$1:$H$8,2,0)</f>
        <v>700</v>
      </c>
      <c r="G21" s="7"/>
      <c r="H21" s="16"/>
    </row>
    <row r="22" spans="1:9" x14ac:dyDescent="0.25">
      <c r="A22" s="38" t="s">
        <v>6</v>
      </c>
      <c r="B22" s="39">
        <f>HLOOKUP($B$20,$A$1:$H$8,3,0)</f>
        <v>150</v>
      </c>
      <c r="C22" s="40">
        <f>HLOOKUP($C$20,$A$1:$H$8,3,0)</f>
        <v>850</v>
      </c>
      <c r="G22" s="7"/>
      <c r="H22" s="16"/>
    </row>
    <row r="23" spans="1:9" x14ac:dyDescent="0.25">
      <c r="A23" s="38" t="s">
        <v>7</v>
      </c>
      <c r="B23" s="39">
        <f>HLOOKUP($B$20,$A$1:$H$8,4,0)</f>
        <v>200</v>
      </c>
      <c r="C23" s="40">
        <f>HLOOKUP($C$20,$A$1:$H$8,4,0)</f>
        <v>1100</v>
      </c>
      <c r="G23" s="7"/>
      <c r="H23" s="16"/>
    </row>
    <row r="24" spans="1:9" x14ac:dyDescent="0.25">
      <c r="A24" s="38" t="s">
        <v>8</v>
      </c>
      <c r="B24" s="39">
        <f>HLOOKUP($B$20,$A$1:$H$8,5,0)</f>
        <v>90</v>
      </c>
      <c r="C24" s="40">
        <f>HLOOKUP($C$20,$A$1:$H$8,5,0)</f>
        <v>550</v>
      </c>
      <c r="G24" s="7"/>
      <c r="H24" s="16"/>
    </row>
    <row r="25" spans="1:9" x14ac:dyDescent="0.25">
      <c r="A25" s="38" t="s">
        <v>9</v>
      </c>
      <c r="B25" s="39">
        <f>HLOOKUP($B$20,$A$1:$H$8,6,0)</f>
        <v>220</v>
      </c>
      <c r="C25" s="40">
        <f>HLOOKUP($C$20,$A$1:$H$8,6,0)</f>
        <v>1200</v>
      </c>
      <c r="G25" s="7"/>
      <c r="H25" s="16"/>
    </row>
    <row r="26" spans="1:9" x14ac:dyDescent="0.25">
      <c r="A26" s="38" t="s">
        <v>18</v>
      </c>
      <c r="B26" s="39">
        <f>HLOOKUP($B$20,$A$1:$H$8,7,0)</f>
        <v>130</v>
      </c>
      <c r="C26" s="40">
        <f>HLOOKUP($C$20,$A$1:$H$8,7,0)</f>
        <v>750</v>
      </c>
      <c r="G26" s="7"/>
      <c r="H26" s="16"/>
    </row>
    <row r="27" spans="1:9" x14ac:dyDescent="0.25">
      <c r="A27" s="21" t="s">
        <v>44</v>
      </c>
      <c r="B27" s="7"/>
      <c r="C27" s="16"/>
    </row>
    <row r="28" spans="1:9" x14ac:dyDescent="0.25">
      <c r="A28" s="17" t="s">
        <v>43</v>
      </c>
      <c r="B28" s="17" t="s">
        <v>39</v>
      </c>
      <c r="C28" s="16"/>
    </row>
    <row r="29" spans="1:9" x14ac:dyDescent="0.25">
      <c r="A29" s="30" t="s">
        <v>6</v>
      </c>
      <c r="B29" s="31">
        <f>MAX(HLOOKUP(B28,A1:J8,3,0))</f>
        <v>190</v>
      </c>
      <c r="C29" s="16"/>
    </row>
    <row r="30" spans="1:9" x14ac:dyDescent="0.25">
      <c r="A30" s="21" t="s">
        <v>45</v>
      </c>
      <c r="B30" s="7"/>
      <c r="C30" s="16"/>
    </row>
    <row r="31" spans="1:9" x14ac:dyDescent="0.25">
      <c r="A31" s="18" t="s">
        <v>43</v>
      </c>
      <c r="B31" s="18" t="s">
        <v>40</v>
      </c>
      <c r="C31" s="16"/>
    </row>
    <row r="32" spans="1:9" x14ac:dyDescent="0.25">
      <c r="A32" s="32" t="s">
        <v>18</v>
      </c>
      <c r="B32" s="33">
        <f>MIN(HLOOKUP(B31,A1:J8,7,0))</f>
        <v>130</v>
      </c>
    </row>
    <row r="33" spans="1:2" x14ac:dyDescent="0.25">
      <c r="A33" s="21" t="s">
        <v>47</v>
      </c>
    </row>
    <row r="34" spans="1:2" x14ac:dyDescent="0.25">
      <c r="A34" s="34" t="s">
        <v>43</v>
      </c>
      <c r="B34" s="34" t="s">
        <v>38</v>
      </c>
    </row>
    <row r="35" spans="1:2" x14ac:dyDescent="0.25">
      <c r="A35" s="35" t="s">
        <v>9</v>
      </c>
      <c r="B35" s="36">
        <f>AVERAGE(HLOOKUP(B34,A1:H8,6,0))</f>
        <v>240</v>
      </c>
    </row>
  </sheetData>
  <mergeCells count="3">
    <mergeCell ref="H10:I10"/>
    <mergeCell ref="H13:I13"/>
    <mergeCell ref="H16:I16"/>
  </mergeCells>
  <dataValidations count="2">
    <dataValidation showDropDown="1" showInputMessage="1" showErrorMessage="1" sqref="H12" xr:uid="{1C512D51-20EC-4B2A-A192-D44FFED4D0E0}"/>
    <dataValidation type="list" allowBlank="1" showInputMessage="1" showErrorMessage="1" sqref="G20 B20" xr:uid="{1C8B3986-45E5-46E5-AEDF-C64A0B4DB1C4}">
      <formula1>$B$1:$F$1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VlookUP-Product</vt:lpstr>
      <vt:lpstr>VlookUp-Oders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Mondal</dc:creator>
  <cp:lastModifiedBy>Prabin Mondal</cp:lastModifiedBy>
  <dcterms:created xsi:type="dcterms:W3CDTF">2026-08-07T10:04:55Z</dcterms:created>
  <dcterms:modified xsi:type="dcterms:W3CDTF">2026-08-11T13:06:40Z</dcterms:modified>
</cp:coreProperties>
</file>